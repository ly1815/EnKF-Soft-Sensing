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y1815_ic_ac_uk/Documents/PhD/Data/Pavlos's Work/Pavlos-chapter 5/Pavlos_Data_Excel/"/>
    </mc:Choice>
  </mc:AlternateContent>
  <xr:revisionPtr revIDLastSave="37" documentId="8_{31010407-B01C-4F7F-8715-4D41EA813BC5}" xr6:coauthVersionLast="47" xr6:coauthVersionMax="47" xr10:uidLastSave="{64A7FA46-343C-4042-B4B6-A373B57BFA94}"/>
  <bookViews>
    <workbookView xWindow="-98" yWindow="-98" windowWidth="20715" windowHeight="13155" xr2:uid="{00000000-000D-0000-FFFF-FFFF00000000}"/>
  </bookViews>
  <sheets>
    <sheet name="Metabolites" sheetId="1" r:id="rId1"/>
    <sheet name="NS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E4" i="1"/>
  <c r="D4" i="1"/>
</calcChain>
</file>

<file path=xl/sharedStrings.xml><?xml version="1.0" encoding="utf-8"?>
<sst xmlns="http://schemas.openxmlformats.org/spreadsheetml/2006/main" count="106" uniqueCount="41">
  <si>
    <t>Cell culture period</t>
  </si>
  <si>
    <t>hours</t>
  </si>
  <si>
    <t>cell·mL^(-1)</t>
  </si>
  <si>
    <t>Xv</t>
  </si>
  <si>
    <t>mg·L^(-1)</t>
  </si>
  <si>
    <t>mAb</t>
  </si>
  <si>
    <t>Xv_STDEV</t>
  </si>
  <si>
    <t>mAb_STDEV</t>
  </si>
  <si>
    <t>mM</t>
  </si>
  <si>
    <t>Amm_STDEV</t>
  </si>
  <si>
    <t>Amm</t>
  </si>
  <si>
    <t>Asn</t>
  </si>
  <si>
    <t>Asn_STDEV</t>
  </si>
  <si>
    <t>Gal_STDEV</t>
  </si>
  <si>
    <t>Glc</t>
  </si>
  <si>
    <t>Glc_STDEV</t>
  </si>
  <si>
    <t>Gln_STDEV</t>
  </si>
  <si>
    <t>Gln</t>
  </si>
  <si>
    <t>Lac</t>
  </si>
  <si>
    <t>Lac_STDEV</t>
  </si>
  <si>
    <t>Gal</t>
  </si>
  <si>
    <t>Urd</t>
  </si>
  <si>
    <t>Urd_STDEV</t>
  </si>
  <si>
    <t>UDPGal</t>
  </si>
  <si>
    <t>UDPGalNAc</t>
  </si>
  <si>
    <t>UDPGlc</t>
  </si>
  <si>
    <t>UDPGlcNAc</t>
  </si>
  <si>
    <t>GDPMan</t>
  </si>
  <si>
    <t>GDPFuc</t>
  </si>
  <si>
    <t>UDPGal_STDEV</t>
  </si>
  <si>
    <t>UDPGalNAc_STDEV</t>
  </si>
  <si>
    <t>UDPGlc_STDEV</t>
  </si>
  <si>
    <t>UDPGlcNAc_STDEV</t>
  </si>
  <si>
    <t>GDPMan_STDEV</t>
  </si>
  <si>
    <t>GDPFuc_STDEV</t>
  </si>
  <si>
    <t>cell·L^(-1)</t>
  </si>
  <si>
    <t>Xv_Ml</t>
  </si>
  <si>
    <t>Xv_mL_STDEV</t>
  </si>
  <si>
    <t>CMPNeu5Ac</t>
  </si>
  <si>
    <t>CMPNeu5Ac_STDEV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</si>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</sst>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749961851863155"/>
      </left>
      <right style="thin">
        <color theme="2" tint="-0.24994659260841701"/>
      </right>
      <top style="thin">
        <color theme="2" tint="-0.24994659260841701"/>
      </top>
      <bottom style="thin">
        <color theme="2" tint="-0.749961851863155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749961851863155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749961851863155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749961851863155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749961851863155"/>
      </right>
      <top style="thin">
        <color theme="2" tint="-0.24994659260841701"/>
      </top>
      <bottom style="thin">
        <color theme="2" tint="-0.74996185186315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zoomScale="52" workbookViewId="0">
      <selection activeCell="W1" sqref="W1:X1048576"/>
    </sheetView>
  </sheetViews>
  <sheetFormatPr defaultRowHeight="14.25" x14ac:dyDescent="0.45"/>
  <cols>
    <col min="1" max="1" width="25" customWidth="1"/>
    <col min="2" max="2" width="23.73046875" customWidth="1"/>
    <col min="3" max="3" width="15.265625" customWidth="1"/>
    <col min="4" max="5" width="23.73046875" customWidth="1"/>
    <col min="6" max="6" width="11.86328125" customWidth="1"/>
    <col min="7" max="7" width="20.59765625" customWidth="1"/>
    <col min="8" max="8" width="16.265625" customWidth="1"/>
    <col min="9" max="9" width="19.59765625" customWidth="1"/>
    <col min="11" max="11" width="17.73046875" customWidth="1"/>
    <col min="13" max="13" width="11" customWidth="1"/>
    <col min="15" max="15" width="13.3984375" customWidth="1"/>
    <col min="17" max="17" width="12" customWidth="1"/>
    <col min="19" max="19" width="14.59765625" customWidth="1"/>
    <col min="21" max="21" width="17.59765625" customWidth="1"/>
  </cols>
  <sheetData>
    <row r="1" spans="1:21" x14ac:dyDescent="0.45">
      <c r="A1" s="1" t="s">
        <v>0</v>
      </c>
      <c r="B1" s="2" t="s">
        <v>36</v>
      </c>
      <c r="C1" s="2" t="s">
        <v>37</v>
      </c>
      <c r="D1" s="2" t="s">
        <v>3</v>
      </c>
      <c r="E1" s="2" t="s">
        <v>6</v>
      </c>
      <c r="F1" s="2" t="s">
        <v>5</v>
      </c>
      <c r="G1" s="2" t="s">
        <v>7</v>
      </c>
      <c r="H1" s="2" t="s">
        <v>20</v>
      </c>
      <c r="I1" s="2" t="s">
        <v>13</v>
      </c>
      <c r="J1" s="2" t="s">
        <v>21</v>
      </c>
      <c r="K1" s="2" t="s">
        <v>22</v>
      </c>
      <c r="L1" s="2" t="s">
        <v>14</v>
      </c>
      <c r="M1" s="2" t="s">
        <v>15</v>
      </c>
      <c r="N1" s="2" t="s">
        <v>10</v>
      </c>
      <c r="O1" s="2" t="s">
        <v>9</v>
      </c>
      <c r="P1" s="2" t="s">
        <v>17</v>
      </c>
      <c r="Q1" s="2" t="s">
        <v>16</v>
      </c>
      <c r="R1" s="2" t="s">
        <v>18</v>
      </c>
      <c r="S1" s="2" t="s">
        <v>19</v>
      </c>
      <c r="T1" s="2" t="s">
        <v>11</v>
      </c>
      <c r="U1" s="2" t="s">
        <v>12</v>
      </c>
    </row>
    <row r="2" spans="1:21" x14ac:dyDescent="0.45">
      <c r="A2" s="1" t="s">
        <v>1</v>
      </c>
      <c r="B2" s="2" t="s">
        <v>2</v>
      </c>
      <c r="C2" s="2" t="s">
        <v>2</v>
      </c>
      <c r="D2" s="2" t="s">
        <v>35</v>
      </c>
      <c r="E2" s="2" t="s">
        <v>35</v>
      </c>
      <c r="F2" s="2" t="s">
        <v>4</v>
      </c>
      <c r="G2" s="2" t="s">
        <v>4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  <c r="P2" s="2" t="s">
        <v>8</v>
      </c>
      <c r="Q2" s="2" t="s">
        <v>8</v>
      </c>
      <c r="R2" s="2" t="s">
        <v>8</v>
      </c>
      <c r="S2" s="2" t="s">
        <v>8</v>
      </c>
      <c r="T2" s="2" t="s">
        <v>8</v>
      </c>
      <c r="U2" s="2" t="s">
        <v>8</v>
      </c>
    </row>
    <row r="3" spans="1:21" x14ac:dyDescent="0.45">
      <c r="A3" s="1"/>
      <c r="B3" s="2" t="s">
        <v>40</v>
      </c>
      <c r="C3" s="2" t="s">
        <v>40</v>
      </c>
      <c r="D3" s="2" t="s">
        <v>40</v>
      </c>
      <c r="E3" s="2" t="s">
        <v>40</v>
      </c>
      <c r="F3" s="2" t="s">
        <v>40</v>
      </c>
      <c r="G3" s="2" t="s">
        <v>40</v>
      </c>
      <c r="H3" s="2" t="s">
        <v>40</v>
      </c>
      <c r="I3" s="2" t="s">
        <v>40</v>
      </c>
      <c r="J3" s="2" t="s">
        <v>40</v>
      </c>
      <c r="K3" s="2" t="s">
        <v>40</v>
      </c>
      <c r="L3" s="2" t="s">
        <v>40</v>
      </c>
      <c r="M3" s="2" t="s">
        <v>40</v>
      </c>
      <c r="N3" s="2" t="s">
        <v>40</v>
      </c>
      <c r="O3" s="2" t="s">
        <v>40</v>
      </c>
      <c r="P3" s="2" t="s">
        <v>40</v>
      </c>
      <c r="Q3" s="2" t="s">
        <v>40</v>
      </c>
      <c r="R3" s="2" t="s">
        <v>40</v>
      </c>
      <c r="S3" s="2" t="s">
        <v>40</v>
      </c>
      <c r="T3" s="2" t="s">
        <v>40</v>
      </c>
      <c r="U3" s="2" t="s">
        <v>40</v>
      </c>
    </row>
    <row r="4" spans="1:21" x14ac:dyDescent="0.45">
      <c r="A4" s="3">
        <v>0</v>
      </c>
      <c r="B4" s="4">
        <v>200000</v>
      </c>
      <c r="C4" s="4">
        <v>0</v>
      </c>
      <c r="D4" s="4">
        <f>B4*1000</f>
        <v>200000000</v>
      </c>
      <c r="E4" s="4">
        <f>C4*1000</f>
        <v>0</v>
      </c>
      <c r="F4" s="4">
        <v>7.0514999999999999</v>
      </c>
      <c r="G4" s="4">
        <v>1.3498668452851199</v>
      </c>
      <c r="H4" s="4">
        <v>0</v>
      </c>
      <c r="I4" s="12">
        <v>0</v>
      </c>
      <c r="J4" s="4">
        <v>0</v>
      </c>
      <c r="K4" s="12">
        <v>0</v>
      </c>
      <c r="L4" s="4">
        <v>28.3087990408313</v>
      </c>
      <c r="M4" s="4">
        <v>0</v>
      </c>
      <c r="N4" s="4">
        <v>0.1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5.0873476999999996</v>
      </c>
      <c r="U4" s="4">
        <v>0</v>
      </c>
    </row>
    <row r="5" spans="1:21" x14ac:dyDescent="0.45">
      <c r="A5" s="3">
        <v>24</v>
      </c>
      <c r="B5" s="4">
        <v>287500</v>
      </c>
      <c r="C5" s="4">
        <v>14849.242404917501</v>
      </c>
      <c r="D5" s="4">
        <f t="shared" ref="D5:D20" si="0">B5*1000</f>
        <v>287500000</v>
      </c>
      <c r="E5" s="4">
        <f t="shared" ref="E5:E20" si="1">C5*1000</f>
        <v>14849242.404917501</v>
      </c>
      <c r="F5" s="4">
        <v>9.7865000000000002</v>
      </c>
      <c r="G5" s="4">
        <v>0.21283914113715099</v>
      </c>
      <c r="H5" s="4">
        <v>0</v>
      </c>
      <c r="I5" s="12">
        <v>0</v>
      </c>
      <c r="J5" s="4">
        <v>0</v>
      </c>
      <c r="K5" s="12">
        <v>0</v>
      </c>
      <c r="L5" s="4">
        <v>27.5039410288861</v>
      </c>
      <c r="M5" s="4">
        <v>0.117749080994227</v>
      </c>
      <c r="N5" s="4">
        <v>0.36250663974896002</v>
      </c>
      <c r="O5" s="4">
        <v>9.6775163129433905E-2</v>
      </c>
      <c r="P5" s="4">
        <v>6.4580539420516503E-2</v>
      </c>
      <c r="Q5" s="4">
        <v>2.0588494242304502E-2</v>
      </c>
      <c r="R5" s="4">
        <v>0</v>
      </c>
      <c r="S5" s="4">
        <v>0</v>
      </c>
      <c r="T5" s="4">
        <v>5.8256423820809102</v>
      </c>
      <c r="U5" s="4">
        <v>5.4453374023446598E-2</v>
      </c>
    </row>
    <row r="6" spans="1:21" x14ac:dyDescent="0.45">
      <c r="A6" s="3">
        <v>48</v>
      </c>
      <c r="B6" s="4">
        <v>429250</v>
      </c>
      <c r="C6" s="4">
        <v>6010.4076400856502</v>
      </c>
      <c r="D6" s="4">
        <f t="shared" si="0"/>
        <v>429250000</v>
      </c>
      <c r="E6" s="4">
        <f t="shared" si="1"/>
        <v>6010407.6400856506</v>
      </c>
      <c r="F6" s="4">
        <v>21.754999999999999</v>
      </c>
      <c r="G6" s="4">
        <v>2.62336615820209</v>
      </c>
      <c r="H6" s="4">
        <v>0</v>
      </c>
      <c r="I6" s="12">
        <v>0</v>
      </c>
      <c r="J6" s="4">
        <v>0</v>
      </c>
      <c r="K6" s="12">
        <v>0</v>
      </c>
      <c r="L6" s="4">
        <v>27.059881436088698</v>
      </c>
      <c r="M6" s="4">
        <v>0.66724479230063605</v>
      </c>
      <c r="N6" s="4">
        <v>0.62522891411235004</v>
      </c>
      <c r="O6" s="4">
        <v>1.8157140906434801E-2</v>
      </c>
      <c r="P6" s="4">
        <v>0.13885766863868701</v>
      </c>
      <c r="Q6" s="10">
        <v>4.0065811102450298E-4</v>
      </c>
      <c r="R6" s="4">
        <v>0.88809946714031995</v>
      </c>
      <c r="S6" s="10">
        <v>1.25596231116616</v>
      </c>
      <c r="T6" s="4">
        <v>5.5656740655309802</v>
      </c>
      <c r="U6" s="4">
        <v>0.21211768094365799</v>
      </c>
    </row>
    <row r="7" spans="1:21" x14ac:dyDescent="0.45">
      <c r="A7" s="3">
        <v>72</v>
      </c>
      <c r="B7" s="4">
        <v>652500</v>
      </c>
      <c r="C7" s="10">
        <v>18384.7763108502</v>
      </c>
      <c r="D7" s="4">
        <f t="shared" si="0"/>
        <v>652500000</v>
      </c>
      <c r="E7" s="4">
        <f t="shared" si="1"/>
        <v>18384776.310850199</v>
      </c>
      <c r="F7" s="4">
        <v>28.98</v>
      </c>
      <c r="G7" s="10">
        <v>3.7759502115361601</v>
      </c>
      <c r="H7" s="4">
        <v>0</v>
      </c>
      <c r="I7" s="13">
        <v>0</v>
      </c>
      <c r="J7" s="4">
        <v>0</v>
      </c>
      <c r="K7" s="13">
        <v>0</v>
      </c>
      <c r="L7" s="4">
        <v>38.522169675170403</v>
      </c>
      <c r="M7" s="10">
        <v>0.39249693664743401</v>
      </c>
      <c r="N7" s="4">
        <v>0.82569034191737301</v>
      </c>
      <c r="O7" s="10">
        <v>2.29228212427873E-2</v>
      </c>
      <c r="P7" s="4">
        <v>0.192693780709284</v>
      </c>
      <c r="Q7" s="10">
        <v>1.43841655632792E-2</v>
      </c>
      <c r="R7" s="4">
        <v>2.7198046181172302</v>
      </c>
      <c r="S7" s="10">
        <v>0.23549293334365501</v>
      </c>
      <c r="T7" s="4">
        <v>4.86597714720551</v>
      </c>
      <c r="U7" s="10">
        <v>0.13837010107528</v>
      </c>
    </row>
    <row r="8" spans="1:21" x14ac:dyDescent="0.45">
      <c r="A8" s="3">
        <v>96</v>
      </c>
      <c r="B8" s="4">
        <v>952000</v>
      </c>
      <c r="C8" s="4">
        <v>68589.357775095094</v>
      </c>
      <c r="D8" s="4">
        <f t="shared" si="0"/>
        <v>952000000</v>
      </c>
      <c r="E8" s="4">
        <f t="shared" si="1"/>
        <v>68589357.77509509</v>
      </c>
      <c r="F8" s="4">
        <v>59.414999999999999</v>
      </c>
      <c r="G8" s="4">
        <v>2.8496403281817901</v>
      </c>
      <c r="H8" s="4">
        <v>0</v>
      </c>
      <c r="I8" s="12">
        <v>0</v>
      </c>
      <c r="J8" s="4">
        <v>0</v>
      </c>
      <c r="K8" s="12">
        <v>0</v>
      </c>
      <c r="L8" s="4">
        <v>35.885565842936103</v>
      </c>
      <c r="M8" s="4">
        <v>1.1382411162775501</v>
      </c>
      <c r="N8" s="4">
        <v>1.0642703207592299</v>
      </c>
      <c r="O8" s="4">
        <v>0.29826889634251202</v>
      </c>
      <c r="P8" s="4">
        <v>0.24019516258649301</v>
      </c>
      <c r="Q8" s="4">
        <v>9.5270327494503496E-2</v>
      </c>
      <c r="R8" s="4">
        <v>5.1620781527531099</v>
      </c>
      <c r="S8" s="4">
        <v>0.86347408892672906</v>
      </c>
      <c r="T8" s="4">
        <v>5.0292454090210903</v>
      </c>
      <c r="U8" s="4">
        <v>0.256721126544876</v>
      </c>
    </row>
    <row r="9" spans="1:21" x14ac:dyDescent="0.45">
      <c r="A9" s="3">
        <v>96.01</v>
      </c>
      <c r="B9" s="4">
        <v>952000</v>
      </c>
      <c r="C9" s="4">
        <v>68589.357775095094</v>
      </c>
      <c r="D9" s="4">
        <f t="shared" si="0"/>
        <v>952000000</v>
      </c>
      <c r="E9" s="4">
        <f t="shared" si="1"/>
        <v>68589357.77509509</v>
      </c>
      <c r="F9" s="4">
        <v>59.414999999999999</v>
      </c>
      <c r="G9" s="4">
        <v>2.8496403281817901</v>
      </c>
      <c r="H9" s="4">
        <v>2.1911999999999998</v>
      </c>
      <c r="I9" s="12">
        <v>0</v>
      </c>
      <c r="J9" s="4">
        <v>0.43824000000000002</v>
      </c>
      <c r="K9" s="12">
        <v>0</v>
      </c>
      <c r="L9" s="4">
        <v>35.885565842936103</v>
      </c>
      <c r="M9" s="4">
        <v>1.1382411162775501</v>
      </c>
      <c r="N9" s="4">
        <v>1.0642703207592299</v>
      </c>
      <c r="O9" s="4">
        <v>0.29826889634251202</v>
      </c>
      <c r="P9" s="4">
        <v>0.24019516258649301</v>
      </c>
      <c r="Q9" s="4">
        <v>9.5270327494503496E-2</v>
      </c>
      <c r="R9" s="4">
        <v>5.1620781527531099</v>
      </c>
      <c r="S9" s="4">
        <v>0.86347408892672906</v>
      </c>
      <c r="T9" s="4">
        <v>5.0292454090210903</v>
      </c>
      <c r="U9" s="4">
        <v>0.256721126544876</v>
      </c>
    </row>
    <row r="10" spans="1:21" x14ac:dyDescent="0.45">
      <c r="A10" s="3">
        <v>120</v>
      </c>
      <c r="B10" s="4">
        <v>1342500</v>
      </c>
      <c r="C10" s="10">
        <v>45961.940777125601</v>
      </c>
      <c r="D10" s="4">
        <f t="shared" si="0"/>
        <v>1342500000</v>
      </c>
      <c r="E10" s="4">
        <f t="shared" si="1"/>
        <v>45961940.777125604</v>
      </c>
      <c r="F10" s="4">
        <v>82.855000000000004</v>
      </c>
      <c r="G10" s="4">
        <v>2.2273863607376301</v>
      </c>
      <c r="H10" s="4">
        <v>1.126013313374</v>
      </c>
      <c r="I10" s="12">
        <v>0.205524498919579</v>
      </c>
      <c r="J10" s="4">
        <v>0.42238051180000002</v>
      </c>
      <c r="K10" s="12">
        <v>2.54369191168239E-3</v>
      </c>
      <c r="L10" s="4">
        <v>43.684362441439603</v>
      </c>
      <c r="M10" s="4">
        <v>1.64848713391921</v>
      </c>
      <c r="N10" s="4">
        <v>0.74886223766371895</v>
      </c>
      <c r="O10" s="4">
        <v>3.8531593569388997E-2</v>
      </c>
      <c r="P10" s="4">
        <v>0.28002326173133701</v>
      </c>
      <c r="Q10" s="4">
        <v>2.6376308584842401E-2</v>
      </c>
      <c r="R10" s="4">
        <v>7.5488454706927204</v>
      </c>
      <c r="S10" s="4">
        <v>0.78497644447884796</v>
      </c>
      <c r="T10" s="4">
        <v>6.3209673976444201</v>
      </c>
      <c r="U10" s="4">
        <v>0.68426824035200895</v>
      </c>
    </row>
    <row r="11" spans="1:21" x14ac:dyDescent="0.45">
      <c r="A11" s="3">
        <v>144</v>
      </c>
      <c r="B11" s="4">
        <v>2037500</v>
      </c>
      <c r="C11" s="4">
        <v>88388.347648318406</v>
      </c>
      <c r="D11" s="4">
        <f t="shared" si="0"/>
        <v>2037500000</v>
      </c>
      <c r="E11" s="4">
        <f t="shared" si="1"/>
        <v>88388347.64831841</v>
      </c>
      <c r="F11" s="4">
        <v>142.891321</v>
      </c>
      <c r="G11" s="4">
        <v>18.715352973695602</v>
      </c>
      <c r="H11" s="4">
        <v>1.1345380898749999</v>
      </c>
      <c r="I11" s="12">
        <v>3.4720617609977203E-2</v>
      </c>
      <c r="J11" s="4">
        <v>0.38167569179999999</v>
      </c>
      <c r="K11" s="12">
        <v>4.7640434084753802E-3</v>
      </c>
      <c r="L11" s="4">
        <v>41.547325651102398</v>
      </c>
      <c r="M11" s="4">
        <v>1.84473560224294</v>
      </c>
      <c r="N11" s="4">
        <v>0.742224044215409</v>
      </c>
      <c r="O11" s="4">
        <v>0.49595615182764602</v>
      </c>
      <c r="P11" s="4">
        <v>0.39139738560590098</v>
      </c>
      <c r="Q11" s="4">
        <v>3.3144347339265998E-3</v>
      </c>
      <c r="R11" s="4">
        <v>11.711811722913</v>
      </c>
      <c r="S11" s="4">
        <v>7.8497644447885095E-2</v>
      </c>
      <c r="T11" s="4">
        <v>5.9673076697701299</v>
      </c>
      <c r="U11" s="4">
        <v>0.19496902612813599</v>
      </c>
    </row>
    <row r="12" spans="1:21" x14ac:dyDescent="0.45">
      <c r="A12" s="3">
        <v>144.01</v>
      </c>
      <c r="B12" s="4">
        <v>2037500</v>
      </c>
      <c r="C12" s="4">
        <v>88388.347648318406</v>
      </c>
      <c r="D12" s="4">
        <f t="shared" si="0"/>
        <v>2037500000</v>
      </c>
      <c r="E12" s="4">
        <f t="shared" si="1"/>
        <v>88388347.64831841</v>
      </c>
      <c r="F12" s="4">
        <v>142.891321</v>
      </c>
      <c r="G12" s="4">
        <v>18.715352973695602</v>
      </c>
      <c r="H12" s="4">
        <v>1.6619842808875001</v>
      </c>
      <c r="I12" s="12">
        <v>0</v>
      </c>
      <c r="J12" s="4">
        <v>0.47168812261999998</v>
      </c>
      <c r="K12" s="12">
        <v>0</v>
      </c>
      <c r="L12" s="4">
        <v>41.547325651102398</v>
      </c>
      <c r="M12" s="4">
        <v>1.84473560224294</v>
      </c>
      <c r="N12" s="4">
        <v>0.742224044215409</v>
      </c>
      <c r="O12" s="4">
        <v>0.49595615182764602</v>
      </c>
      <c r="P12" s="4">
        <v>0.39139738560590098</v>
      </c>
      <c r="Q12" s="4">
        <v>3.3144347339265998E-3</v>
      </c>
      <c r="R12" s="4">
        <v>11.711811722913</v>
      </c>
      <c r="S12" s="4">
        <v>7.8497644447885095E-2</v>
      </c>
      <c r="T12" s="4">
        <v>5.9673076697701299</v>
      </c>
      <c r="U12" s="4">
        <v>0.19496902612813599</v>
      </c>
    </row>
    <row r="13" spans="1:21" x14ac:dyDescent="0.45">
      <c r="A13" s="3">
        <v>168</v>
      </c>
      <c r="B13" s="4">
        <v>3055000</v>
      </c>
      <c r="C13" s="4">
        <v>176776.69529663699</v>
      </c>
      <c r="D13" s="4">
        <f t="shared" si="0"/>
        <v>3055000000</v>
      </c>
      <c r="E13" s="4">
        <f t="shared" si="1"/>
        <v>176776695.296637</v>
      </c>
      <c r="F13" s="4">
        <v>218.12402299999999</v>
      </c>
      <c r="G13" s="4">
        <v>17.5135062051299</v>
      </c>
      <c r="H13" s="4">
        <v>1.170160755125</v>
      </c>
      <c r="I13" s="12">
        <v>5.9445204698031003E-2</v>
      </c>
      <c r="J13" s="4">
        <v>0.43988590620000001</v>
      </c>
      <c r="K13" s="12">
        <v>7.9525151640660995E-3</v>
      </c>
      <c r="L13" s="4">
        <v>47.875174848464702</v>
      </c>
      <c r="M13" s="4">
        <v>3.92496936647449E-2</v>
      </c>
      <c r="N13" s="4">
        <v>1.4193396877561699</v>
      </c>
      <c r="O13" s="4">
        <v>0.22660826731189401</v>
      </c>
      <c r="P13" s="4">
        <v>0.55230956782795204</v>
      </c>
      <c r="Q13" s="4">
        <v>7.4303197359203901E-3</v>
      </c>
      <c r="R13" s="4">
        <v>12.488898756660699</v>
      </c>
      <c r="S13" s="4">
        <v>7.8497644447882597E-2</v>
      </c>
      <c r="T13" s="4">
        <v>5.8808150453398396</v>
      </c>
      <c r="U13" s="4">
        <v>8.8747943108196305E-3</v>
      </c>
    </row>
    <row r="14" spans="1:21" x14ac:dyDescent="0.45">
      <c r="A14" s="5">
        <v>192</v>
      </c>
      <c r="B14" s="4">
        <v>3865000</v>
      </c>
      <c r="C14" s="4">
        <v>544472.221513642</v>
      </c>
      <c r="D14" s="4">
        <f t="shared" si="0"/>
        <v>3865000000</v>
      </c>
      <c r="E14" s="4">
        <f t="shared" si="1"/>
        <v>544472221.51364195</v>
      </c>
      <c r="F14" s="4">
        <v>323.87486000000001</v>
      </c>
      <c r="G14" s="4">
        <v>18.660745945411701</v>
      </c>
      <c r="H14" s="6">
        <v>1.072724516147</v>
      </c>
      <c r="I14" s="14">
        <v>4.3370731972812403E-2</v>
      </c>
      <c r="J14" s="6">
        <v>0.41467311340000002</v>
      </c>
      <c r="K14" s="14">
        <v>7.7157560147350004E-3</v>
      </c>
      <c r="L14" s="4">
        <v>45.793645507227097</v>
      </c>
      <c r="M14" s="4">
        <v>0</v>
      </c>
      <c r="N14" s="4">
        <v>2.09557983583968</v>
      </c>
      <c r="O14" s="4">
        <v>0.17556234789358699</v>
      </c>
      <c r="P14" s="4">
        <v>0.90127425821751195</v>
      </c>
      <c r="Q14" s="4">
        <v>1.2368770302425801E-2</v>
      </c>
      <c r="R14" s="4">
        <v>13.432504440497301</v>
      </c>
      <c r="S14" s="4">
        <v>0.156995288895771</v>
      </c>
      <c r="T14" s="4">
        <v>5.4138708220081204</v>
      </c>
      <c r="U14" s="4">
        <v>0.21441541254036101</v>
      </c>
    </row>
    <row r="15" spans="1:21" x14ac:dyDescent="0.45">
      <c r="A15" s="4">
        <v>192.01</v>
      </c>
      <c r="B15" s="4">
        <v>3865000</v>
      </c>
      <c r="C15" s="4">
        <v>544472.221513642</v>
      </c>
      <c r="D15" s="4">
        <f t="shared" si="0"/>
        <v>3865000000</v>
      </c>
      <c r="E15" s="4">
        <f t="shared" si="1"/>
        <v>544472221.51364195</v>
      </c>
      <c r="F15" s="4">
        <v>323.87486000000001</v>
      </c>
      <c r="G15" s="4">
        <v>18.660745945411701</v>
      </c>
      <c r="H15" s="4">
        <v>24.311352064532301</v>
      </c>
      <c r="I15" s="12">
        <v>0</v>
      </c>
      <c r="J15" s="4">
        <v>5.0423858020600001</v>
      </c>
      <c r="K15" s="12">
        <v>0</v>
      </c>
      <c r="L15" s="4">
        <v>45.793645507227097</v>
      </c>
      <c r="M15" s="4">
        <v>0</v>
      </c>
      <c r="N15" s="4">
        <v>2.09557983583968</v>
      </c>
      <c r="O15" s="4">
        <v>0.17556234789358699</v>
      </c>
      <c r="P15" s="4">
        <v>0.90127425821751195</v>
      </c>
      <c r="Q15" s="4">
        <v>1.2368770302425801E-2</v>
      </c>
      <c r="R15" s="4">
        <v>13.432504440497301</v>
      </c>
      <c r="S15" s="4">
        <v>0.156995288895771</v>
      </c>
      <c r="T15" s="4">
        <v>5.4138708220081204</v>
      </c>
      <c r="U15" s="4">
        <v>0.21441541254036101</v>
      </c>
    </row>
    <row r="16" spans="1:21" x14ac:dyDescent="0.45">
      <c r="A16" s="9">
        <v>216</v>
      </c>
      <c r="B16" s="4">
        <v>4100000</v>
      </c>
      <c r="C16" s="4">
        <v>296984.84809834999</v>
      </c>
      <c r="D16" s="4">
        <f t="shared" si="0"/>
        <v>4100000000</v>
      </c>
      <c r="E16" s="4">
        <f t="shared" si="1"/>
        <v>296984848.09834999</v>
      </c>
      <c r="F16" s="4">
        <v>361.08812</v>
      </c>
      <c r="G16" s="4">
        <v>15.0963337985353</v>
      </c>
      <c r="H16" s="6">
        <v>24.0929715378</v>
      </c>
      <c r="I16" s="14">
        <v>0.67518909293848595</v>
      </c>
      <c r="J16" s="6">
        <v>4.8974201535999997</v>
      </c>
      <c r="K16" s="14">
        <v>2.1062232178014902E-2</v>
      </c>
      <c r="L16" s="4">
        <v>58.615866249250601</v>
      </c>
      <c r="M16" s="4">
        <v>0.23549816198845999</v>
      </c>
      <c r="N16" s="4">
        <v>2.1270978436794699</v>
      </c>
      <c r="O16" s="4">
        <v>0.42046446526159298</v>
      </c>
      <c r="P16" s="4">
        <v>1.13137574406373</v>
      </c>
      <c r="Q16" s="4">
        <v>9.5541073534959706E-2</v>
      </c>
      <c r="R16" s="4">
        <v>12.211367673179399</v>
      </c>
      <c r="S16" s="4">
        <v>0</v>
      </c>
      <c r="T16" s="4">
        <v>5.1737959317346203</v>
      </c>
      <c r="U16" s="4">
        <v>0.24806463389608499</v>
      </c>
    </row>
    <row r="17" spans="1:21" x14ac:dyDescent="0.45">
      <c r="A17" s="9">
        <v>240</v>
      </c>
      <c r="B17" s="6">
        <v>3932500</v>
      </c>
      <c r="C17" s="6">
        <v>67175.144212722007</v>
      </c>
      <c r="D17" s="4">
        <f t="shared" si="0"/>
        <v>3932500000</v>
      </c>
      <c r="E17" s="4">
        <f t="shared" si="1"/>
        <v>67175144.212722003</v>
      </c>
      <c r="F17" s="6">
        <v>425.13643999999999</v>
      </c>
      <c r="G17" s="6">
        <v>71.288242937527897</v>
      </c>
      <c r="H17" s="6">
        <v>18.146730294600001</v>
      </c>
      <c r="I17" s="14">
        <v>2.06467764451383</v>
      </c>
      <c r="J17" s="6">
        <v>4.8584443414000003</v>
      </c>
      <c r="K17" s="14">
        <v>2.5838718403097701E-2</v>
      </c>
      <c r="L17" s="6">
        <v>55.507449099669202</v>
      </c>
      <c r="M17" s="6">
        <v>1.5699877465897201</v>
      </c>
      <c r="N17" s="6">
        <v>2.2988781890736298</v>
      </c>
      <c r="O17" s="6">
        <v>3.1022043345033098E-2</v>
      </c>
      <c r="P17" s="6">
        <v>1.3391155475608301</v>
      </c>
      <c r="Q17" s="6">
        <v>6.0279546707998802E-2</v>
      </c>
      <c r="R17" s="6">
        <v>11.8783303730018</v>
      </c>
      <c r="S17" s="6">
        <v>0.78497644447884996</v>
      </c>
      <c r="T17" s="6">
        <v>4.2612162297672196</v>
      </c>
      <c r="U17" s="6">
        <v>0.123965039817612</v>
      </c>
    </row>
    <row r="18" spans="1:21" x14ac:dyDescent="0.45">
      <c r="A18" s="9">
        <v>240.01</v>
      </c>
      <c r="B18" s="6">
        <v>3932500</v>
      </c>
      <c r="C18" s="6">
        <v>67175.144212722007</v>
      </c>
      <c r="D18" s="4">
        <f t="shared" si="0"/>
        <v>3932500000</v>
      </c>
      <c r="E18" s="4">
        <f t="shared" si="1"/>
        <v>67175144.212722003</v>
      </c>
      <c r="F18" s="6">
        <v>425.13643999999999</v>
      </c>
      <c r="G18" s="6">
        <v>71.288242937527897</v>
      </c>
      <c r="H18" s="6">
        <v>16.72875726514</v>
      </c>
      <c r="I18" s="14">
        <v>0</v>
      </c>
      <c r="J18" s="6">
        <v>4.4519399072599999</v>
      </c>
      <c r="K18" s="14">
        <v>0</v>
      </c>
      <c r="L18" s="6">
        <v>55.507449099669202</v>
      </c>
      <c r="M18" s="6">
        <v>1.5699877465897201</v>
      </c>
      <c r="N18" s="6">
        <v>2.2988781890736298</v>
      </c>
      <c r="O18" s="6">
        <v>3.1022043345033098E-2</v>
      </c>
      <c r="P18" s="6">
        <v>1.3391155475608301</v>
      </c>
      <c r="Q18" s="6">
        <v>6.0279546707998802E-2</v>
      </c>
      <c r="R18" s="6">
        <v>11.8783303730018</v>
      </c>
      <c r="S18" s="6">
        <v>0.78497644447884996</v>
      </c>
      <c r="T18" s="6">
        <v>4.2612162297672196</v>
      </c>
      <c r="U18" s="6">
        <v>0.123965039817612</v>
      </c>
    </row>
    <row r="19" spans="1:21" x14ac:dyDescent="0.45">
      <c r="A19" s="9">
        <v>264</v>
      </c>
      <c r="B19" s="4">
        <v>3617500</v>
      </c>
      <c r="C19" s="4">
        <v>533865.61979584303</v>
      </c>
      <c r="D19" s="4">
        <f t="shared" si="0"/>
        <v>3617500000</v>
      </c>
      <c r="E19" s="4">
        <f t="shared" si="1"/>
        <v>533865619.79584301</v>
      </c>
      <c r="F19" s="4">
        <v>458.99073499999997</v>
      </c>
      <c r="G19" s="4">
        <v>62.973536932115003</v>
      </c>
      <c r="H19" s="6">
        <v>18.6817519467</v>
      </c>
      <c r="I19" s="14">
        <v>3.5946857144188802</v>
      </c>
      <c r="J19" s="6">
        <v>4.2719629159999997</v>
      </c>
      <c r="K19" s="14">
        <v>4.4352419796305401E-2</v>
      </c>
      <c r="L19" s="4">
        <v>61.363484979684301</v>
      </c>
      <c r="M19" s="4">
        <v>1.7662362149134401</v>
      </c>
      <c r="N19" s="4">
        <v>3.2954511348300799</v>
      </c>
      <c r="O19" s="4">
        <v>5.2280896021918502E-2</v>
      </c>
      <c r="P19" s="4">
        <v>1.5939963756224</v>
      </c>
      <c r="Q19" s="4">
        <v>0.110106811457197</v>
      </c>
      <c r="R19" s="4">
        <v>11.7673179396092</v>
      </c>
      <c r="S19" s="4">
        <v>0.15699528889577</v>
      </c>
      <c r="T19" s="4">
        <v>4.81201062532549</v>
      </c>
      <c r="U19" s="4">
        <v>0.22714257578465299</v>
      </c>
    </row>
    <row r="20" spans="1:21" x14ac:dyDescent="0.45">
      <c r="A20" s="7">
        <v>288</v>
      </c>
      <c r="B20" s="8">
        <v>3600000</v>
      </c>
      <c r="C20" s="8">
        <v>502045.81464244903</v>
      </c>
      <c r="D20" s="4">
        <f t="shared" si="0"/>
        <v>3600000000</v>
      </c>
      <c r="E20" s="4">
        <f t="shared" si="1"/>
        <v>502045814.64244902</v>
      </c>
      <c r="F20" s="8">
        <v>463.68403999999998</v>
      </c>
      <c r="G20" s="8">
        <v>21.805815486773199</v>
      </c>
      <c r="H20" s="8">
        <v>20.124339522</v>
      </c>
      <c r="I20" s="15">
        <v>2.5162689216674301</v>
      </c>
      <c r="J20" s="8">
        <v>4.0525878873999996</v>
      </c>
      <c r="K20" s="15">
        <v>6.4914347056573493E-2</v>
      </c>
      <c r="L20" s="8">
        <v>58.477097626501497</v>
      </c>
      <c r="M20" s="8">
        <v>0.90274295428909301</v>
      </c>
      <c r="N20" s="8">
        <v>3.5831325270727299</v>
      </c>
      <c r="O20" s="8">
        <v>0.36481220569466399</v>
      </c>
      <c r="P20" s="8">
        <v>1.8841004359452</v>
      </c>
      <c r="Q20" s="8">
        <v>0.37310909079052801</v>
      </c>
      <c r="R20" s="8">
        <v>11.9893428063943</v>
      </c>
      <c r="S20" s="8">
        <v>0.15699528889577</v>
      </c>
      <c r="T20" s="8">
        <v>4.9230649920525904</v>
      </c>
      <c r="U20" s="8">
        <v>0.634129803380172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0F0F-D53C-4C92-BFFE-A5C5947DE90C}">
  <dimension ref="A1:O20"/>
  <sheetViews>
    <sheetView zoomScale="51" workbookViewId="0">
      <selection activeCell="F24" sqref="F24"/>
    </sheetView>
  </sheetViews>
  <sheetFormatPr defaultRowHeight="14.25" x14ac:dyDescent="0.45"/>
  <cols>
    <col min="1" max="1" width="25" customWidth="1"/>
    <col min="2" max="15" width="20.73046875" customWidth="1"/>
  </cols>
  <sheetData>
    <row r="1" spans="1:15" x14ac:dyDescent="0.45">
      <c r="A1" s="1" t="s">
        <v>0</v>
      </c>
      <c r="B1" s="2" t="s">
        <v>23</v>
      </c>
      <c r="C1" s="2" t="s">
        <v>29</v>
      </c>
      <c r="D1" s="2" t="s">
        <v>24</v>
      </c>
      <c r="E1" s="2" t="s">
        <v>30</v>
      </c>
      <c r="F1" s="2" t="s">
        <v>25</v>
      </c>
      <c r="G1" s="2" t="s">
        <v>31</v>
      </c>
      <c r="H1" s="2" t="s">
        <v>26</v>
      </c>
      <c r="I1" s="2" t="s">
        <v>32</v>
      </c>
      <c r="J1" s="2" t="s">
        <v>27</v>
      </c>
      <c r="K1" s="2" t="s">
        <v>33</v>
      </c>
      <c r="L1" s="2" t="s">
        <v>28</v>
      </c>
      <c r="M1" s="2" t="s">
        <v>34</v>
      </c>
      <c r="N1" s="2" t="s">
        <v>38</v>
      </c>
      <c r="O1" s="2" t="s">
        <v>39</v>
      </c>
    </row>
    <row r="2" spans="1:15" x14ac:dyDescent="0.45">
      <c r="A2" s="1" t="s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</row>
    <row r="3" spans="1:15" x14ac:dyDescent="0.45">
      <c r="A3" s="1"/>
      <c r="B3" s="2" t="s">
        <v>40</v>
      </c>
      <c r="C3" s="2" t="s">
        <v>40</v>
      </c>
      <c r="D3" s="2" t="s">
        <v>40</v>
      </c>
      <c r="E3" s="2" t="s">
        <v>40</v>
      </c>
      <c r="F3" s="2" t="s">
        <v>40</v>
      </c>
      <c r="G3" s="2" t="s">
        <v>40</v>
      </c>
      <c r="H3" s="2" t="s">
        <v>40</v>
      </c>
      <c r="I3" s="2" t="s">
        <v>40</v>
      </c>
      <c r="J3" s="2" t="s">
        <v>40</v>
      </c>
      <c r="K3" s="2" t="s">
        <v>40</v>
      </c>
      <c r="L3" s="2" t="s">
        <v>40</v>
      </c>
      <c r="M3" s="2" t="s">
        <v>40</v>
      </c>
      <c r="N3" s="2" t="s">
        <v>40</v>
      </c>
      <c r="O3" s="2" t="s">
        <v>40</v>
      </c>
    </row>
    <row r="4" spans="1:15" x14ac:dyDescent="0.45">
      <c r="A4" s="3">
        <v>0</v>
      </c>
      <c r="B4" s="4">
        <v>4.7239799321301401E-2</v>
      </c>
      <c r="C4" s="4">
        <v>0</v>
      </c>
      <c r="D4" s="4">
        <v>6.6917160934363007E-2</v>
      </c>
      <c r="E4" s="4">
        <v>0</v>
      </c>
      <c r="F4" s="4">
        <v>0.169115153325962</v>
      </c>
      <c r="G4" s="4">
        <v>0</v>
      </c>
      <c r="H4" s="4">
        <v>0.36840674030139298</v>
      </c>
      <c r="I4" s="4">
        <v>0</v>
      </c>
      <c r="J4" s="4">
        <v>0.59749491810172195</v>
      </c>
      <c r="K4" s="4">
        <v>0</v>
      </c>
      <c r="L4" s="4">
        <v>9.9498362140185995E-2</v>
      </c>
      <c r="M4" s="4">
        <v>0</v>
      </c>
      <c r="N4" s="4">
        <v>0.54746745259774499</v>
      </c>
      <c r="O4" s="4">
        <v>0</v>
      </c>
    </row>
    <row r="5" spans="1:15" x14ac:dyDescent="0.45">
      <c r="A5" s="3">
        <v>24</v>
      </c>
      <c r="B5" s="11"/>
      <c r="C5" s="1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x14ac:dyDescent="0.45">
      <c r="A6" s="3">
        <v>48</v>
      </c>
      <c r="B6" s="11"/>
      <c r="C6" s="11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45">
      <c r="A7" s="3">
        <v>72</v>
      </c>
      <c r="B7" s="4">
        <v>6.9471930700870793E-2</v>
      </c>
      <c r="C7" s="4">
        <v>2.0669315554294999E-3</v>
      </c>
      <c r="D7" s="4">
        <v>5.0318924088345797E-2</v>
      </c>
      <c r="E7" s="4">
        <v>2.94173954603578E-3</v>
      </c>
      <c r="F7" s="4"/>
      <c r="G7" s="4"/>
      <c r="H7" s="4">
        <v>0.27633985770323399</v>
      </c>
      <c r="I7" s="4">
        <v>1.88302795081004E-2</v>
      </c>
      <c r="J7" s="4">
        <v>0.39369002773164002</v>
      </c>
      <c r="K7" s="4">
        <v>7.14691952209488E-2</v>
      </c>
      <c r="L7" s="4">
        <v>6.8181455187417403E-2</v>
      </c>
      <c r="M7" s="4">
        <v>5.8893529722878299E-2</v>
      </c>
      <c r="N7" s="4">
        <v>0.36963268219714501</v>
      </c>
      <c r="O7" s="4">
        <v>0.41436851862755297</v>
      </c>
    </row>
    <row r="8" spans="1:15" x14ac:dyDescent="0.45">
      <c r="A8" s="3">
        <v>96</v>
      </c>
      <c r="B8" s="4">
        <v>9.7477846262912907E-2</v>
      </c>
      <c r="C8" s="4">
        <v>1.2578754894470899E-2</v>
      </c>
      <c r="D8" s="4">
        <v>7.6447809417903204E-2</v>
      </c>
      <c r="E8" s="4">
        <v>2.4475062710985801E-3</v>
      </c>
      <c r="F8" s="4">
        <v>0.177223758392548</v>
      </c>
      <c r="G8" s="4">
        <v>1.8718222305358901E-2</v>
      </c>
      <c r="H8" s="4">
        <v>0.40832722884235401</v>
      </c>
      <c r="I8" s="4">
        <v>8.9634909835607495E-3</v>
      </c>
      <c r="J8" s="4">
        <v>0.59277361100398396</v>
      </c>
      <c r="K8" s="4">
        <v>8.0713008952066206E-2</v>
      </c>
      <c r="L8" s="4">
        <v>0.10372988058487199</v>
      </c>
      <c r="M8" s="4">
        <v>8.9689907076078296E-3</v>
      </c>
      <c r="N8" s="4">
        <v>1.08497820266876</v>
      </c>
      <c r="O8" s="4">
        <v>3.9697356269366803E-2</v>
      </c>
    </row>
    <row r="9" spans="1:15" x14ac:dyDescent="0.45">
      <c r="A9" s="3">
        <v>96.01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45">
      <c r="A10" s="3">
        <v>120</v>
      </c>
      <c r="B10" s="4">
        <v>0.36389038179534899</v>
      </c>
      <c r="C10" s="4">
        <v>2.2791365284535899E-2</v>
      </c>
      <c r="D10" s="4">
        <v>8.5885512236497499E-2</v>
      </c>
      <c r="E10" s="4">
        <v>3.3912815141967402E-3</v>
      </c>
      <c r="F10" s="4">
        <v>0.50106529665820199</v>
      </c>
      <c r="G10" s="4">
        <v>3.9875633797910398E-2</v>
      </c>
      <c r="H10" s="4">
        <v>0.64897202817634803</v>
      </c>
      <c r="I10" s="4">
        <v>1.5854029917951599E-2</v>
      </c>
      <c r="J10" s="4">
        <v>0.54710765942339401</v>
      </c>
      <c r="K10" s="4">
        <v>2.2946048696515502E-2</v>
      </c>
      <c r="L10" s="4">
        <v>9.6424350134985404E-2</v>
      </c>
      <c r="M10" s="4">
        <v>6.8129476747537604E-3</v>
      </c>
      <c r="N10" s="4">
        <v>1.42017638870874</v>
      </c>
      <c r="O10" s="4">
        <v>8.8629260406473103E-3</v>
      </c>
    </row>
    <row r="11" spans="1:15" x14ac:dyDescent="0.45">
      <c r="A11" s="3">
        <v>144</v>
      </c>
      <c r="B11" s="4">
        <v>0.59521200622842696</v>
      </c>
      <c r="C11" s="4"/>
      <c r="D11" s="4">
        <v>0.12081449312312099</v>
      </c>
      <c r="E11" s="4"/>
      <c r="F11" s="4">
        <v>0.57724094448830698</v>
      </c>
      <c r="G11" s="4"/>
      <c r="H11" s="4">
        <v>0.72972196407427903</v>
      </c>
      <c r="I11" s="4"/>
      <c r="J11" s="4">
        <v>0.42491547801512197</v>
      </c>
      <c r="K11" s="4">
        <v>0.149859791467015</v>
      </c>
      <c r="L11" s="4">
        <v>8.3242147693920507E-2</v>
      </c>
      <c r="M11" s="4">
        <v>2.5455397148855499E-2</v>
      </c>
      <c r="N11" s="4">
        <v>0.41202966063526097</v>
      </c>
      <c r="O11" s="4">
        <v>0.58269793417037097</v>
      </c>
    </row>
    <row r="12" spans="1:15" x14ac:dyDescent="0.45">
      <c r="A12" s="3">
        <v>144.01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45">
      <c r="A13" s="3">
        <v>168</v>
      </c>
      <c r="B13" s="4">
        <v>0.41702088860464998</v>
      </c>
      <c r="C13" s="4">
        <v>6.2275663511969302E-2</v>
      </c>
      <c r="D13" s="4">
        <v>0.16450825021413201</v>
      </c>
      <c r="E13" s="4">
        <v>2.4677488041678099E-2</v>
      </c>
      <c r="F13" s="4">
        <v>0.52682998869658604</v>
      </c>
      <c r="G13" s="4">
        <v>5.5537094426059298E-3</v>
      </c>
      <c r="H13" s="4">
        <v>0.84186373439718998</v>
      </c>
      <c r="I13" s="4">
        <v>3.9669817007993803E-2</v>
      </c>
      <c r="J13" s="4">
        <v>0.52972849558490198</v>
      </c>
      <c r="K13" s="4">
        <v>6.61337576095338E-2</v>
      </c>
      <c r="L13" s="4">
        <v>4.3632618163369802E-2</v>
      </c>
      <c r="M13" s="4">
        <v>1.1154695553467601E-2</v>
      </c>
      <c r="N13" s="4">
        <v>0.69944215396290299</v>
      </c>
      <c r="O13" s="4">
        <v>7.0582693597688304E-2</v>
      </c>
    </row>
    <row r="14" spans="1:15" x14ac:dyDescent="0.45">
      <c r="A14" s="5">
        <v>192</v>
      </c>
      <c r="B14" s="4">
        <v>0.32428122010382399</v>
      </c>
      <c r="C14" s="4">
        <v>7.4921347618710802E-3</v>
      </c>
      <c r="D14" s="4">
        <v>0.16021044266703899</v>
      </c>
      <c r="E14" s="4">
        <v>6.0280686139946704E-3</v>
      </c>
      <c r="F14" s="4">
        <v>0.52235313390391402</v>
      </c>
      <c r="G14" s="4">
        <v>8.4905109958559807E-3</v>
      </c>
      <c r="H14" s="4">
        <v>0.97659026521158099</v>
      </c>
      <c r="I14" s="4">
        <v>1.02721143442097E-2</v>
      </c>
      <c r="J14" s="4">
        <v>0.58380420790892296</v>
      </c>
      <c r="K14" s="4">
        <v>5.6104601687045601E-3</v>
      </c>
      <c r="L14" s="4">
        <v>5.5707127579106598E-2</v>
      </c>
      <c r="M14" s="4">
        <v>8.4424935267560404E-3</v>
      </c>
      <c r="N14" s="4">
        <v>0.43231743194424599</v>
      </c>
      <c r="O14" s="4">
        <v>6.4148036208039994E-2</v>
      </c>
    </row>
    <row r="15" spans="1:15" x14ac:dyDescent="0.45">
      <c r="A15" s="4">
        <v>192.01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x14ac:dyDescent="0.45">
      <c r="A16" s="9">
        <v>216</v>
      </c>
      <c r="B16" s="4">
        <v>0.60737481389150405</v>
      </c>
      <c r="C16" s="4">
        <v>2.99016098352133E-2</v>
      </c>
      <c r="D16" s="4">
        <v>0.26528365797494302</v>
      </c>
      <c r="E16" s="4">
        <v>1.73428559295782E-2</v>
      </c>
      <c r="F16" s="4">
        <v>0.72622753033592202</v>
      </c>
      <c r="G16" s="4">
        <v>3.6587837807887699E-2</v>
      </c>
      <c r="H16" s="4">
        <v>1.5427651529494399</v>
      </c>
      <c r="I16" s="4">
        <v>8.2813855327445299E-2</v>
      </c>
      <c r="J16" s="4">
        <v>0.57931194362690996</v>
      </c>
      <c r="K16" s="4">
        <v>0.100019592473785</v>
      </c>
      <c r="L16" s="4">
        <v>2.9775312872548601E-2</v>
      </c>
      <c r="M16" s="4">
        <v>1.6647692549466399E-3</v>
      </c>
      <c r="N16" s="4">
        <v>3.69555289173167</v>
      </c>
      <c r="O16" s="4">
        <v>0.778496820658238</v>
      </c>
    </row>
    <row r="17" spans="1:15" x14ac:dyDescent="0.45">
      <c r="A17" s="9">
        <v>240</v>
      </c>
      <c r="B17" s="4">
        <v>0.52294226785957798</v>
      </c>
      <c r="C17" s="4">
        <v>4.0574850686202597E-2</v>
      </c>
      <c r="D17" s="4">
        <v>0.409611545416048</v>
      </c>
      <c r="E17" s="4">
        <v>4.8198259907971303E-2</v>
      </c>
      <c r="F17" s="4">
        <v>0.62963742465123496</v>
      </c>
      <c r="G17" s="4">
        <v>1.20670998768941E-2</v>
      </c>
      <c r="H17" s="4">
        <v>2.7059212623515201</v>
      </c>
      <c r="I17" s="4">
        <v>0.30045065901485701</v>
      </c>
      <c r="J17" s="4">
        <v>0.79174483364974702</v>
      </c>
      <c r="K17" s="4">
        <v>8.82577944403731E-2</v>
      </c>
      <c r="L17" s="4">
        <v>2.4852961026267901E-2</v>
      </c>
      <c r="M17" s="4">
        <v>1.16811927343193E-2</v>
      </c>
      <c r="N17" s="4">
        <v>3.2377569563585702</v>
      </c>
      <c r="O17" s="4">
        <v>0.26164212911264201</v>
      </c>
    </row>
    <row r="18" spans="1:15" x14ac:dyDescent="0.45">
      <c r="A18" s="9">
        <v>240.01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x14ac:dyDescent="0.45">
      <c r="A19" s="9">
        <v>264</v>
      </c>
      <c r="B19" s="4">
        <v>0.92871903191600902</v>
      </c>
      <c r="C19" s="4">
        <v>9.7311137629620598E-2</v>
      </c>
      <c r="D19" s="4">
        <v>0.49329424539333</v>
      </c>
      <c r="E19" s="4">
        <v>9.8481237832034094E-2</v>
      </c>
      <c r="F19" s="4">
        <v>1.0134656754861999</v>
      </c>
      <c r="G19" s="4">
        <v>0.186773470038616</v>
      </c>
      <c r="H19" s="4">
        <v>3.7603339609680302</v>
      </c>
      <c r="I19" s="4">
        <v>1.05845047437983</v>
      </c>
      <c r="J19" s="4">
        <v>0.91613020805765399</v>
      </c>
      <c r="K19" s="4">
        <v>3.07719683544963E-3</v>
      </c>
      <c r="L19" s="4">
        <v>3.3608324003979999E-2</v>
      </c>
      <c r="M19" s="4">
        <v>1.4200592976493599E-2</v>
      </c>
      <c r="N19" s="4">
        <v>5.4755888435630498</v>
      </c>
      <c r="O19" s="4">
        <v>0.55075372917033505</v>
      </c>
    </row>
    <row r="20" spans="1:15" x14ac:dyDescent="0.45">
      <c r="A20" s="7">
        <v>288</v>
      </c>
      <c r="B20" s="8">
        <v>1.5233714766108399</v>
      </c>
      <c r="C20" s="8">
        <v>9.6244207245770194E-2</v>
      </c>
      <c r="D20" s="8">
        <v>0.65612203798524305</v>
      </c>
      <c r="E20" s="8">
        <v>6.6179938634409796E-2</v>
      </c>
      <c r="F20" s="8">
        <v>1.0098747666946</v>
      </c>
      <c r="G20" s="8">
        <v>8.5913663593336201E-2</v>
      </c>
      <c r="H20" s="8">
        <v>4.3877816806049097</v>
      </c>
      <c r="I20" s="8">
        <v>0.52065838647274698</v>
      </c>
      <c r="J20" s="8">
        <v>0.69734678185163601</v>
      </c>
      <c r="K20" s="8">
        <v>7.1178893632698997E-2</v>
      </c>
      <c r="L20" s="8">
        <v>5.6032225650445501E-2</v>
      </c>
      <c r="M20" s="8">
        <v>1.4237670242750701E-2</v>
      </c>
      <c r="N20" s="8">
        <v>4.13418775423788</v>
      </c>
      <c r="O20" s="8">
        <v>0.13949054361848201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Metabolites</vt:lpstr>
      <vt:lpstr>NSD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Luxi Yu</dc:creator>
  <cp:lastModifiedBy>Yu, Luxi</cp:lastModifiedBy>
  <dcterms:created xsi:type="dcterms:W3CDTF">2015-06-05T18:17:20Z</dcterms:created>
  <dcterms:modified xsi:type="dcterms:W3CDTF">2025-04-26T21:56:38Z</dcterms:modified>
</cp:coreProperties>
</file>
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Data/Pavlos's Work/Pavlos-chapter 5/Pavlos_Data_Excel/"/>
    </mc:Choice>
  </mc:AlternateContent>
  <xr:revisionPtr revIDLastSave="194" documentId="11_F25DC773A252ABDACC10483B999B56565ADE58E4" xr6:coauthVersionLast="47" xr6:coauthVersionMax="47" xr10:uidLastSave="{78B3B979-E1D2-4FB7-A587-A4FF29D70AC6}"/>
  <bookViews>
    <workbookView minimized="1" xWindow="31140" yWindow="5910" windowWidth="21600" windowHeight="11295" activeTab="2" xr2:uid="{00000000-000D-0000-FFFF-FFFF00000000}"/>
  </bookViews>
  <sheets>
    <sheet name="Metabolites" sheetId="1" r:id="rId1"/>
    <sheet name="NSD" sheetId="3" r:id="rId2"/>
    <sheet name="Glycan" sheetId="4" r:id="rId3"/>
    <sheet name="GalUr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</calcChain>
</file>

<file path=xl/sharedStrings.xml><?xml version="1.0" encoding="utf-8"?>
<sst xmlns="http://schemas.openxmlformats.org/spreadsheetml/2006/main" count="123" uniqueCount="48">
  <si>
    <t>Cell culture period</t>
  </si>
  <si>
    <t>P1</t>
  </si>
  <si>
    <t>hours</t>
  </si>
  <si>
    <t>cell·mL^(-1)</t>
  </si>
  <si>
    <t>Xv</t>
  </si>
  <si>
    <t>mg·L^(-1)</t>
  </si>
  <si>
    <t>mAb</t>
  </si>
  <si>
    <t>Xv_STDEV</t>
  </si>
  <si>
    <t>mAb_STDEV</t>
  </si>
  <si>
    <t>mM</t>
  </si>
  <si>
    <t>Amm_STDEV</t>
  </si>
  <si>
    <t>Amm</t>
  </si>
  <si>
    <t>Asn</t>
  </si>
  <si>
    <t>Asn_STDEV</t>
  </si>
  <si>
    <t>Gal_STDEV</t>
  </si>
  <si>
    <t>Glc</t>
  </si>
  <si>
    <t>Glc_STDEV</t>
  </si>
  <si>
    <t>Gln_STDEV</t>
  </si>
  <si>
    <t>Gln</t>
  </si>
  <si>
    <t>Lac</t>
  </si>
  <si>
    <t>Lac_STDEV</t>
  </si>
  <si>
    <t>Gal</t>
  </si>
  <si>
    <t>Urd</t>
  </si>
  <si>
    <t>Urd_STDEV</t>
  </si>
  <si>
    <t>UDPGal</t>
  </si>
  <si>
    <t>UDPGalNAc</t>
  </si>
  <si>
    <t>UDPGlc</t>
  </si>
  <si>
    <t>UDPGlcNAc</t>
  </si>
  <si>
    <t>GDPMan</t>
  </si>
  <si>
    <t>GDPFuc</t>
  </si>
  <si>
    <t>UDPGal_STDEV</t>
  </si>
  <si>
    <t>UDPGalNAc_STDEV</t>
  </si>
  <si>
    <t>UDPGlc_STDEV</t>
  </si>
  <si>
    <t>UDPGlcNAc_STDEV</t>
  </si>
  <si>
    <t>GDPMan_STDEV</t>
  </si>
  <si>
    <t>GDPFuc_STDEV</t>
  </si>
  <si>
    <t>cell·L^(-1)</t>
  </si>
  <si>
    <t>Xv_Ml</t>
  </si>
  <si>
    <t>Xv_mL_STDEV</t>
  </si>
  <si>
    <t>CMPNeu5Ac</t>
  </si>
  <si>
    <t>CMPNeu5Ac_STDEV</t>
  </si>
  <si>
    <t>Man5</t>
  </si>
  <si>
    <t>G0</t>
  </si>
  <si>
    <t>G0F</t>
  </si>
  <si>
    <t>G1F</t>
  </si>
  <si>
    <t>G2</t>
  </si>
  <si>
    <t>G2F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</si>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</sst>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>
      <selection sqref="A1:A1048576"/>
    </sheetView>
  </sheetViews>
  <sheetFormatPr defaultRowHeight="15" x14ac:dyDescent="0.25"/>
  <cols>
    <col min="1" max="1" width="25" customWidth="1"/>
    <col min="2" max="2" width="23.7109375" customWidth="1"/>
    <col min="3" max="3" width="15.28515625" customWidth="1"/>
    <col min="4" max="5" width="23.7109375" customWidth="1"/>
    <col min="6" max="6" width="11.85546875" customWidth="1"/>
    <col min="7" max="7" width="20.5703125" customWidth="1"/>
    <col min="8" max="8" width="16.28515625" customWidth="1"/>
    <col min="9" max="9" width="19.5703125" customWidth="1"/>
    <col min="11" max="11" width="17.7109375" customWidth="1"/>
    <col min="13" max="13" width="11" customWidth="1"/>
    <col min="15" max="15" width="13.42578125" customWidth="1"/>
    <col min="17" max="17" width="12" customWidth="1"/>
    <col min="19" max="19" width="14.5703125" customWidth="1"/>
    <col min="21" max="21" width="17.5703125" customWidth="1"/>
  </cols>
  <sheetData>
    <row r="1" spans="1:21" x14ac:dyDescent="0.25">
      <c r="A1" s="1" t="s">
        <v>0</v>
      </c>
      <c r="B1" s="2" t="s">
        <v>37</v>
      </c>
      <c r="C1" s="2" t="s">
        <v>38</v>
      </c>
      <c r="D1" s="2" t="s">
        <v>4</v>
      </c>
      <c r="E1" s="2" t="s">
        <v>7</v>
      </c>
      <c r="F1" s="2" t="s">
        <v>6</v>
      </c>
      <c r="G1" s="2" t="s">
        <v>8</v>
      </c>
      <c r="H1" s="2" t="s">
        <v>21</v>
      </c>
      <c r="I1" s="2" t="s">
        <v>14</v>
      </c>
      <c r="J1" s="2" t="s">
        <v>22</v>
      </c>
      <c r="K1" s="2" t="s">
        <v>23</v>
      </c>
      <c r="L1" s="2" t="s">
        <v>15</v>
      </c>
      <c r="M1" s="2" t="s">
        <v>16</v>
      </c>
      <c r="N1" s="2" t="s">
        <v>11</v>
      </c>
      <c r="O1" s="2" t="s">
        <v>10</v>
      </c>
      <c r="P1" s="2" t="s">
        <v>18</v>
      </c>
      <c r="Q1" s="2" t="s">
        <v>17</v>
      </c>
      <c r="R1" s="2" t="s">
        <v>19</v>
      </c>
      <c r="S1" s="2" t="s">
        <v>20</v>
      </c>
      <c r="T1" s="2" t="s">
        <v>12</v>
      </c>
      <c r="U1" s="2" t="s">
        <v>13</v>
      </c>
    </row>
    <row r="2" spans="1:21" x14ac:dyDescent="0.25">
      <c r="A2" s="1" t="s">
        <v>2</v>
      </c>
      <c r="B2" s="2" t="s">
        <v>3</v>
      </c>
      <c r="C2" s="2" t="s">
        <v>3</v>
      </c>
      <c r="D2" s="2" t="s">
        <v>36</v>
      </c>
      <c r="E2" s="2" t="s">
        <v>36</v>
      </c>
      <c r="F2" s="2" t="s">
        <v>5</v>
      </c>
      <c r="G2" s="2" t="s">
        <v>5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9</v>
      </c>
      <c r="S2" s="2" t="s">
        <v>9</v>
      </c>
      <c r="T2" s="2" t="s">
        <v>9</v>
      </c>
      <c r="U2" s="2" t="s">
        <v>9</v>
      </c>
    </row>
    <row r="3" spans="1:21" x14ac:dyDescent="0.25">
      <c r="A3" s="1"/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</row>
    <row r="4" spans="1:21" x14ac:dyDescent="0.25">
      <c r="A4" s="3">
        <v>0</v>
      </c>
      <c r="B4" s="4">
        <v>200000</v>
      </c>
      <c r="C4" s="4">
        <v>0</v>
      </c>
      <c r="D4" s="4">
        <f>B4*1000</f>
        <v>200000000</v>
      </c>
      <c r="E4" s="4">
        <f>C4*1000</f>
        <v>0</v>
      </c>
      <c r="F4" s="4">
        <v>7.0514999999999999</v>
      </c>
      <c r="G4" s="4">
        <v>1.3498668452851199</v>
      </c>
      <c r="H4" s="4">
        <v>0</v>
      </c>
      <c r="I4" s="4">
        <v>0</v>
      </c>
      <c r="J4" s="4">
        <v>0</v>
      </c>
      <c r="K4" s="4">
        <v>0</v>
      </c>
      <c r="L4" s="4">
        <v>28.3087990408313</v>
      </c>
      <c r="M4" s="4">
        <v>0</v>
      </c>
      <c r="N4" s="4">
        <v>0.1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5.0873476999999996</v>
      </c>
      <c r="U4" s="4">
        <v>0</v>
      </c>
    </row>
    <row r="5" spans="1:21" x14ac:dyDescent="0.25">
      <c r="A5" s="3">
        <v>24</v>
      </c>
      <c r="B5" s="4">
        <v>290500</v>
      </c>
      <c r="C5" s="4">
        <v>7778.1745930520201</v>
      </c>
      <c r="D5" s="4">
        <f t="shared" ref="D5:E20" si="0">B5*1000</f>
        <v>290500000</v>
      </c>
      <c r="E5" s="4">
        <f t="shared" si="0"/>
        <v>7778174.5930520203</v>
      </c>
      <c r="F5" s="4">
        <v>9.7865000000000002</v>
      </c>
      <c r="G5" s="4">
        <v>0.21283914113715099</v>
      </c>
      <c r="H5" s="4">
        <v>0</v>
      </c>
      <c r="I5" s="4">
        <v>0</v>
      </c>
      <c r="J5" s="4">
        <v>0</v>
      </c>
      <c r="K5" s="4">
        <v>0</v>
      </c>
      <c r="L5" s="4">
        <v>26.782344190590401</v>
      </c>
      <c r="M5" s="4">
        <v>1.21674050360704</v>
      </c>
      <c r="N5" s="4">
        <v>0.44088683741685403</v>
      </c>
      <c r="O5" s="4">
        <v>2.02251777557503E-2</v>
      </c>
      <c r="P5" s="4">
        <v>8.4392086321010001E-2</v>
      </c>
      <c r="Q5" s="4">
        <v>5.8776080899454602E-3</v>
      </c>
      <c r="R5" s="4">
        <v>5.5506216696269997E-2</v>
      </c>
      <c r="S5" s="4">
        <v>7.8497644447884901E-2</v>
      </c>
      <c r="T5" s="4">
        <v>7.0554822586223196</v>
      </c>
      <c r="U5" s="4">
        <v>1.4925804544057799</v>
      </c>
    </row>
    <row r="6" spans="1:21" x14ac:dyDescent="0.25">
      <c r="A6" s="3">
        <v>48</v>
      </c>
      <c r="B6" s="4">
        <v>299000</v>
      </c>
      <c r="C6" s="4">
        <v>21213.203435596399</v>
      </c>
      <c r="D6" s="4">
        <f t="shared" si="0"/>
        <v>299000000</v>
      </c>
      <c r="E6" s="4">
        <f t="shared" si="0"/>
        <v>21213203.435596399</v>
      </c>
      <c r="F6" s="4">
        <v>21.754999999999999</v>
      </c>
      <c r="G6" s="4">
        <v>2.62336615820209</v>
      </c>
      <c r="H6" s="4">
        <v>0</v>
      </c>
      <c r="I6" s="4">
        <v>0</v>
      </c>
      <c r="J6" s="4">
        <v>0</v>
      </c>
      <c r="K6" s="4">
        <v>0</v>
      </c>
      <c r="L6" s="4">
        <v>27.143142609738199</v>
      </c>
      <c r="M6" s="4">
        <v>0</v>
      </c>
      <c r="N6" s="4">
        <v>0.57438261070763097</v>
      </c>
      <c r="O6" s="4">
        <v>8.4850372444432803E-2</v>
      </c>
      <c r="P6" s="4">
        <v>0.121739885867995</v>
      </c>
      <c r="Q6" s="4">
        <v>1.7346425939175798E-2</v>
      </c>
      <c r="R6" s="4">
        <v>0</v>
      </c>
      <c r="S6" s="4">
        <v>0</v>
      </c>
      <c r="T6" s="4">
        <v>5.6440546706811503</v>
      </c>
      <c r="U6" s="4">
        <v>8.5501577320885896E-2</v>
      </c>
    </row>
    <row r="7" spans="1:21" x14ac:dyDescent="0.25">
      <c r="A7" s="3">
        <v>72</v>
      </c>
      <c r="B7" s="4">
        <v>704750</v>
      </c>
      <c r="C7" s="4">
        <v>1060.6601717798201</v>
      </c>
      <c r="D7" s="4">
        <f t="shared" si="0"/>
        <v>704750000</v>
      </c>
      <c r="E7" s="4">
        <f t="shared" si="0"/>
        <v>1060660.17177982</v>
      </c>
      <c r="F7" s="4">
        <v>28.98</v>
      </c>
      <c r="G7" s="4">
        <v>3.7759502115361601</v>
      </c>
      <c r="H7" s="4">
        <v>0</v>
      </c>
      <c r="I7" s="4">
        <v>0</v>
      </c>
      <c r="J7" s="4">
        <v>0</v>
      </c>
      <c r="K7" s="4">
        <v>0</v>
      </c>
      <c r="L7" s="4">
        <v>37.578543040475999</v>
      </c>
      <c r="M7" s="4">
        <v>0.47099632397691399</v>
      </c>
      <c r="N7" s="4">
        <v>0.82443789326288996</v>
      </c>
      <c r="O7" s="4">
        <v>3.1449964250040097E-2</v>
      </c>
      <c r="P7" s="4">
        <v>0.19483776009197901</v>
      </c>
      <c r="Q7" s="10">
        <v>1.93787821488075E-4</v>
      </c>
      <c r="R7" s="4">
        <v>2.88632326820604</v>
      </c>
      <c r="S7" s="10">
        <v>0.15699528889577</v>
      </c>
      <c r="T7" s="4">
        <v>4.7196380961992999</v>
      </c>
      <c r="U7" s="4">
        <v>0.14502989626982701</v>
      </c>
    </row>
    <row r="8" spans="1:21" x14ac:dyDescent="0.25">
      <c r="A8" s="3">
        <v>96</v>
      </c>
      <c r="B8" s="4">
        <v>940000</v>
      </c>
      <c r="C8" s="4">
        <v>3535.5339059327398</v>
      </c>
      <c r="D8" s="4">
        <f t="shared" si="0"/>
        <v>940000000</v>
      </c>
      <c r="E8" s="4">
        <f t="shared" si="0"/>
        <v>3535533.9059327398</v>
      </c>
      <c r="F8" s="4">
        <v>59.414999999999999</v>
      </c>
      <c r="G8" s="4">
        <v>2.8496403281817901</v>
      </c>
      <c r="H8" s="4">
        <v>0</v>
      </c>
      <c r="I8" s="4">
        <v>0</v>
      </c>
      <c r="J8" s="4">
        <v>0</v>
      </c>
      <c r="K8" s="4">
        <v>0</v>
      </c>
      <c r="L8" s="4">
        <v>37.828326561424497</v>
      </c>
      <c r="M8" s="4">
        <v>0.66724479230063405</v>
      </c>
      <c r="N8" s="4">
        <v>0.99267077697515704</v>
      </c>
      <c r="O8" s="4">
        <v>0.162214609398738</v>
      </c>
      <c r="P8" s="4">
        <v>0.234414634598102</v>
      </c>
      <c r="Q8" s="4">
        <v>7.4557282392885699E-2</v>
      </c>
      <c r="R8" s="4">
        <v>5.6061278863232697</v>
      </c>
      <c r="S8" s="4">
        <v>7.8497644447885095E-2</v>
      </c>
      <c r="T8" s="4">
        <v>4.9306338758937596</v>
      </c>
      <c r="U8" s="4">
        <v>0.428824826101393</v>
      </c>
    </row>
    <row r="9" spans="1:21" x14ac:dyDescent="0.25">
      <c r="A9" s="3">
        <v>96.01</v>
      </c>
      <c r="B9" s="4">
        <v>940000</v>
      </c>
      <c r="C9" s="4">
        <v>3535.5339059327398</v>
      </c>
      <c r="D9" s="4">
        <f t="shared" si="0"/>
        <v>940000000</v>
      </c>
      <c r="E9" s="4">
        <f t="shared" si="0"/>
        <v>3535533.9059327398</v>
      </c>
      <c r="F9" s="4">
        <v>59.414999999999999</v>
      </c>
      <c r="G9" s="4">
        <v>2.8496403281817901</v>
      </c>
      <c r="H9" s="4">
        <v>7.9345999999999997</v>
      </c>
      <c r="I9" s="4">
        <v>0</v>
      </c>
      <c r="J9" s="4">
        <v>1.5869200000000001</v>
      </c>
      <c r="K9" s="4">
        <v>0</v>
      </c>
      <c r="L9" s="4">
        <v>37.828326561424497</v>
      </c>
      <c r="M9" s="4">
        <v>0.66724479230063405</v>
      </c>
      <c r="N9" s="4">
        <v>0.99267077697515704</v>
      </c>
      <c r="O9" s="4">
        <v>0.162214609398738</v>
      </c>
      <c r="P9" s="4">
        <v>0.234414634598102</v>
      </c>
      <c r="Q9" s="4">
        <v>7.4557282392885699E-2</v>
      </c>
      <c r="R9" s="4">
        <v>5.6061278863232697</v>
      </c>
      <c r="S9" s="4">
        <v>7.8497644447885095E-2</v>
      </c>
      <c r="T9" s="4">
        <v>4.9306338758937596</v>
      </c>
      <c r="U9" s="4">
        <v>0.428824826101393</v>
      </c>
    </row>
    <row r="10" spans="1:21" x14ac:dyDescent="0.25">
      <c r="A10" s="3">
        <v>120</v>
      </c>
      <c r="B10" s="4">
        <v>1207500</v>
      </c>
      <c r="C10" s="4">
        <v>24748.737341529199</v>
      </c>
      <c r="D10" s="4">
        <f t="shared" si="0"/>
        <v>1207500000</v>
      </c>
      <c r="E10" s="4">
        <f t="shared" si="0"/>
        <v>24748737.341529198</v>
      </c>
      <c r="F10" s="4">
        <v>91.165000000000006</v>
      </c>
      <c r="G10" s="4">
        <v>1.3081475451951201</v>
      </c>
      <c r="H10" s="4">
        <v>7.9961273944000002</v>
      </c>
      <c r="I10" s="4">
        <v>0.74292714110092695</v>
      </c>
      <c r="J10" s="4">
        <v>1.5539991922</v>
      </c>
      <c r="K10" s="4">
        <v>1.4310967267234301E-3</v>
      </c>
      <c r="L10" s="4">
        <v>46.4042274473234</v>
      </c>
      <c r="M10" s="4">
        <v>0.47099632397691399</v>
      </c>
      <c r="N10" s="4">
        <v>0.75904468312759299</v>
      </c>
      <c r="O10" s="4">
        <v>0</v>
      </c>
      <c r="P10" s="4">
        <v>0.30719858495652203</v>
      </c>
      <c r="Q10" s="4">
        <v>0</v>
      </c>
      <c r="R10" s="4">
        <v>8.2704262877442307</v>
      </c>
      <c r="S10" s="4">
        <v>0.23549293334365501</v>
      </c>
      <c r="T10" s="4">
        <v>6.4536205132748599</v>
      </c>
      <c r="U10" s="4">
        <v>0</v>
      </c>
    </row>
    <row r="11" spans="1:21" x14ac:dyDescent="0.25">
      <c r="A11" s="3">
        <v>144</v>
      </c>
      <c r="B11" s="4">
        <v>2285000</v>
      </c>
      <c r="C11" s="4">
        <v>42426.406871192798</v>
      </c>
      <c r="D11" s="4">
        <f t="shared" si="0"/>
        <v>2285000000</v>
      </c>
      <c r="E11" s="4">
        <f t="shared" si="0"/>
        <v>42426406.871192798</v>
      </c>
      <c r="F11" s="4">
        <v>145.80566099999999</v>
      </c>
      <c r="G11" s="4">
        <v>5.4141511605585997</v>
      </c>
      <c r="H11" s="4">
        <v>7.1104849122999996</v>
      </c>
      <c r="I11" s="4">
        <v>0.58484626438746901</v>
      </c>
      <c r="J11" s="4">
        <v>1.5023313214</v>
      </c>
      <c r="K11" s="10">
        <v>5.3521393100617904E-4</v>
      </c>
      <c r="L11" s="4">
        <v>44.794511423433001</v>
      </c>
      <c r="M11" s="4">
        <v>0.23549816198846499</v>
      </c>
      <c r="N11" s="4">
        <v>0.94546767477196703</v>
      </c>
      <c r="O11" s="4">
        <v>0.12801412729063599</v>
      </c>
      <c r="P11" s="4">
        <v>0.41932955793635801</v>
      </c>
      <c r="Q11" s="4">
        <v>2.6335922523009401E-2</v>
      </c>
      <c r="R11" s="4">
        <v>11.933836589698</v>
      </c>
      <c r="S11" s="4">
        <v>7.8497644447885095E-2</v>
      </c>
      <c r="T11" s="4">
        <v>6.1864579978301304</v>
      </c>
      <c r="U11" s="4">
        <v>0.21545391263501901</v>
      </c>
    </row>
    <row r="12" spans="1:21" x14ac:dyDescent="0.25">
      <c r="A12" s="3">
        <v>144.01</v>
      </c>
      <c r="B12" s="4">
        <v>2285000</v>
      </c>
      <c r="C12" s="4">
        <v>42426.406871192798</v>
      </c>
      <c r="D12" s="4">
        <f t="shared" si="0"/>
        <v>2285000000</v>
      </c>
      <c r="E12" s="4">
        <f t="shared" si="0"/>
        <v>42426406.871192798</v>
      </c>
      <c r="F12" s="4">
        <v>145.80566099999999</v>
      </c>
      <c r="G12" s="4">
        <v>5.4141511605585997</v>
      </c>
      <c r="H12" s="4">
        <v>7.9375364210699999</v>
      </c>
      <c r="I12" s="4">
        <v>0</v>
      </c>
      <c r="J12" s="4">
        <v>1.6597181892599999</v>
      </c>
      <c r="K12" s="4">
        <v>0</v>
      </c>
      <c r="L12" s="4">
        <v>44.794511423433001</v>
      </c>
      <c r="M12" s="4">
        <v>0.23549816198846499</v>
      </c>
      <c r="N12" s="4">
        <v>0.94546767477196703</v>
      </c>
      <c r="O12" s="4">
        <v>0.12801412729063599</v>
      </c>
      <c r="P12" s="4">
        <v>0.41932955793635801</v>
      </c>
      <c r="Q12" s="4">
        <v>2.6335922523009401E-2</v>
      </c>
      <c r="R12" s="4">
        <v>11.933836589698</v>
      </c>
      <c r="S12" s="4">
        <v>7.8497644447885095E-2</v>
      </c>
      <c r="T12" s="4">
        <v>6.1864579978301304</v>
      </c>
      <c r="U12" s="4">
        <v>0.21545391263501901</v>
      </c>
    </row>
    <row r="13" spans="1:21" x14ac:dyDescent="0.25">
      <c r="A13" s="3">
        <v>168</v>
      </c>
      <c r="B13" s="4">
        <v>2902500</v>
      </c>
      <c r="C13" s="4">
        <v>116672.61889578</v>
      </c>
      <c r="D13" s="4">
        <f t="shared" si="0"/>
        <v>2902500000</v>
      </c>
      <c r="E13" s="4">
        <f t="shared" si="0"/>
        <v>116672618.89578</v>
      </c>
      <c r="F13" s="4">
        <v>217.640174</v>
      </c>
      <c r="G13" s="4">
        <v>1.4055189773916299</v>
      </c>
      <c r="H13" s="4">
        <v>7.7121530160000002</v>
      </c>
      <c r="I13" s="4">
        <v>0.31743045770732597</v>
      </c>
      <c r="J13" s="4">
        <v>1.5506889164</v>
      </c>
      <c r="K13" s="4">
        <v>1.0774442280437099E-2</v>
      </c>
      <c r="L13" s="4">
        <v>48.430249339461398</v>
      </c>
      <c r="M13" s="4">
        <v>0.82424356695960899</v>
      </c>
      <c r="N13" s="4">
        <v>1.4534879864504799</v>
      </c>
      <c r="O13" s="4">
        <v>2.3689154845303598E-2</v>
      </c>
      <c r="P13" s="4">
        <v>0.53614469710961299</v>
      </c>
      <c r="Q13" s="4">
        <v>1.23810417798255E-2</v>
      </c>
      <c r="R13" s="4">
        <v>12.266873889875701</v>
      </c>
      <c r="S13" s="4">
        <v>0.23549293334365501</v>
      </c>
      <c r="T13" s="4">
        <v>5.3552839877817</v>
      </c>
      <c r="U13" s="4">
        <v>0.260786854002096</v>
      </c>
    </row>
    <row r="14" spans="1:21" x14ac:dyDescent="0.25">
      <c r="A14" s="5">
        <v>192</v>
      </c>
      <c r="B14" s="4">
        <v>3340000</v>
      </c>
      <c r="C14" s="4">
        <v>226274.169979695</v>
      </c>
      <c r="D14" s="4">
        <f t="shared" si="0"/>
        <v>3340000000</v>
      </c>
      <c r="E14" s="4">
        <f t="shared" si="0"/>
        <v>226274169.97969499</v>
      </c>
      <c r="F14" s="4">
        <v>315.72055999999998</v>
      </c>
      <c r="G14" s="4">
        <v>7.9675095047825399</v>
      </c>
      <c r="H14" s="6">
        <v>7.3544571292000001</v>
      </c>
      <c r="I14" s="6">
        <v>0.21676626455596501</v>
      </c>
      <c r="J14" s="6">
        <v>1.579381232</v>
      </c>
      <c r="K14" s="6">
        <v>1.0060708494497099E-2</v>
      </c>
      <c r="L14" s="4">
        <v>48.097204644863297</v>
      </c>
      <c r="M14" s="4">
        <v>0.510246017641664</v>
      </c>
      <c r="N14" s="4">
        <v>1.8262530177832199</v>
      </c>
      <c r="O14" s="4">
        <v>0.55978002743919697</v>
      </c>
      <c r="P14" s="4">
        <v>0.85232270214550898</v>
      </c>
      <c r="Q14" s="4">
        <v>2.4781943726032801E-2</v>
      </c>
      <c r="R14" s="4">
        <v>13.0439609236234</v>
      </c>
      <c r="S14" s="4">
        <v>0.70647880003096597</v>
      </c>
      <c r="T14" s="4">
        <v>5.1630417096467198</v>
      </c>
      <c r="U14" s="4">
        <v>1.44486204257059E-2</v>
      </c>
    </row>
    <row r="15" spans="1:21" x14ac:dyDescent="0.25">
      <c r="A15" s="4">
        <v>192.01</v>
      </c>
      <c r="B15" s="4">
        <v>3340000</v>
      </c>
      <c r="C15" s="4">
        <v>226274.169979695</v>
      </c>
      <c r="D15" s="4">
        <f t="shared" si="0"/>
        <v>3340000000</v>
      </c>
      <c r="E15" s="4">
        <f t="shared" si="0"/>
        <v>226274169.97969499</v>
      </c>
      <c r="F15" s="4">
        <v>315.72055999999998</v>
      </c>
      <c r="G15" s="4">
        <v>7.9675095047825399</v>
      </c>
      <c r="H15" s="4">
        <v>7.7176114162799996</v>
      </c>
      <c r="I15" s="4">
        <v>0</v>
      </c>
      <c r="J15" s="4">
        <v>1.6411631088</v>
      </c>
      <c r="K15" s="4">
        <v>0</v>
      </c>
      <c r="L15" s="4">
        <v>48.097204644863297</v>
      </c>
      <c r="M15" s="4">
        <v>0.510246017641664</v>
      </c>
      <c r="N15" s="4">
        <v>1.8262530177832199</v>
      </c>
      <c r="O15" s="4">
        <v>0.55978002743919697</v>
      </c>
      <c r="P15" s="4">
        <v>0.85232270214550898</v>
      </c>
      <c r="Q15" s="4">
        <v>2.4781943726032801E-2</v>
      </c>
      <c r="R15" s="4">
        <v>13.0439609236234</v>
      </c>
      <c r="S15" s="4">
        <v>0.70647880003096597</v>
      </c>
      <c r="T15" s="4">
        <v>5.1630417096467198</v>
      </c>
      <c r="U15" s="4">
        <v>1.44486204257059E-2</v>
      </c>
    </row>
    <row r="16" spans="1:21" x14ac:dyDescent="0.25">
      <c r="A16" s="9">
        <v>216</v>
      </c>
      <c r="B16" s="4">
        <v>3177500</v>
      </c>
      <c r="C16" s="4">
        <v>17677.669529663701</v>
      </c>
      <c r="D16" s="4">
        <f t="shared" si="0"/>
        <v>3177500000</v>
      </c>
      <c r="E16" s="4">
        <f t="shared" si="0"/>
        <v>17677669.529663701</v>
      </c>
      <c r="F16" s="4">
        <v>353.67511999999999</v>
      </c>
      <c r="G16" s="4">
        <v>2.0967130275743799</v>
      </c>
      <c r="H16" s="6">
        <v>6.5842455040000001</v>
      </c>
      <c r="I16" s="6">
        <v>0.26943032985811299</v>
      </c>
      <c r="J16" s="6">
        <v>1.5142441106</v>
      </c>
      <c r="K16" s="11">
        <v>4.5606379203265099E-4</v>
      </c>
      <c r="L16" s="4">
        <v>54.9523746086725</v>
      </c>
      <c r="M16" s="4">
        <v>0.78499387329485903</v>
      </c>
      <c r="N16" s="4">
        <v>1.9692503373572501</v>
      </c>
      <c r="O16" s="4">
        <v>0.347385481622901</v>
      </c>
      <c r="P16" s="4">
        <v>1.10027457947462</v>
      </c>
      <c r="Q16" s="4">
        <v>0.19147661794198101</v>
      </c>
      <c r="R16" s="4">
        <v>13.376998223801101</v>
      </c>
      <c r="S16" s="4">
        <v>0.23549293334365501</v>
      </c>
      <c r="T16" s="4">
        <v>5.3043678476864802</v>
      </c>
      <c r="U16" s="4">
        <v>0.93257350176225595</v>
      </c>
    </row>
    <row r="17" spans="1:21" x14ac:dyDescent="0.25">
      <c r="A17" s="9">
        <v>240</v>
      </c>
      <c r="B17" s="6">
        <v>3825000</v>
      </c>
      <c r="C17" s="6">
        <v>339411.25496954302</v>
      </c>
      <c r="D17" s="4">
        <f t="shared" si="0"/>
        <v>3825000000</v>
      </c>
      <c r="E17" s="4">
        <f t="shared" si="0"/>
        <v>339411254.96954304</v>
      </c>
      <c r="F17" s="6">
        <v>449.15456</v>
      </c>
      <c r="G17" s="6">
        <v>39.837547523912697</v>
      </c>
      <c r="H17" s="6">
        <v>6.7395151914999998</v>
      </c>
      <c r="I17" s="6">
        <v>1.79837424747383</v>
      </c>
      <c r="J17" s="6">
        <v>1.5171464828000001</v>
      </c>
      <c r="K17" s="6">
        <v>1.45681188104494E-2</v>
      </c>
      <c r="L17" s="6">
        <v>53.453673482981401</v>
      </c>
      <c r="M17" s="6">
        <v>1.0989914226127999</v>
      </c>
      <c r="N17" s="6">
        <v>2.2203512331022801</v>
      </c>
      <c r="O17" s="6">
        <v>0.23739856155970199</v>
      </c>
      <c r="P17" s="6">
        <v>1.4959157740432401</v>
      </c>
      <c r="Q17" s="6">
        <v>8.3536797045844699E-2</v>
      </c>
      <c r="R17" s="6">
        <v>14.542628774422701</v>
      </c>
      <c r="S17" s="6">
        <v>0.31399057779153999</v>
      </c>
      <c r="T17" s="6">
        <v>4.8668573928391297</v>
      </c>
      <c r="U17" s="6">
        <v>4.8909864224457297E-2</v>
      </c>
    </row>
    <row r="18" spans="1:21" x14ac:dyDescent="0.25">
      <c r="A18" s="9">
        <v>240.01</v>
      </c>
      <c r="B18" s="6">
        <v>3825000</v>
      </c>
      <c r="C18" s="6">
        <v>339411.25496954302</v>
      </c>
      <c r="D18" s="4">
        <f t="shared" si="0"/>
        <v>3825000000</v>
      </c>
      <c r="E18" s="4">
        <f t="shared" si="0"/>
        <v>339411254.96954304</v>
      </c>
      <c r="F18" s="6">
        <v>449.15456</v>
      </c>
      <c r="G18" s="6">
        <v>39.837547523912697</v>
      </c>
      <c r="H18" s="6">
        <v>30.894663672349999</v>
      </c>
      <c r="I18" s="6">
        <v>0</v>
      </c>
      <c r="J18" s="6">
        <v>6.3312518345199997</v>
      </c>
      <c r="K18" s="6">
        <v>0</v>
      </c>
      <c r="L18" s="6">
        <v>53.453673482981401</v>
      </c>
      <c r="M18" s="6">
        <v>1.0989914226127999</v>
      </c>
      <c r="N18" s="6">
        <v>2.2203512331022801</v>
      </c>
      <c r="O18" s="6">
        <v>0.23739856155970199</v>
      </c>
      <c r="P18" s="6">
        <v>1.4959157740432401</v>
      </c>
      <c r="Q18" s="6">
        <v>8.3536797045844699E-2</v>
      </c>
      <c r="R18" s="6">
        <v>14.542628774422701</v>
      </c>
      <c r="S18" s="6">
        <v>0.31399057779153999</v>
      </c>
      <c r="T18" s="6">
        <v>4.8668573928391297</v>
      </c>
      <c r="U18" s="6">
        <v>4.8909864224457297E-2</v>
      </c>
    </row>
    <row r="19" spans="1:21" x14ac:dyDescent="0.25">
      <c r="A19" s="9">
        <v>264</v>
      </c>
      <c r="B19" s="4">
        <v>2942500</v>
      </c>
      <c r="C19" s="4">
        <v>498510.280736516</v>
      </c>
      <c r="D19" s="4">
        <f t="shared" si="0"/>
        <v>2942500000</v>
      </c>
      <c r="E19" s="4">
        <f t="shared" si="0"/>
        <v>498510280.736516</v>
      </c>
      <c r="F19" s="4">
        <v>383.77190000000002</v>
      </c>
      <c r="G19" s="4">
        <v>19.918773761956299</v>
      </c>
      <c r="H19" s="6">
        <v>34.447262733000002</v>
      </c>
      <c r="I19" s="6">
        <v>0.79834870435371097</v>
      </c>
      <c r="J19" s="6">
        <v>5.9654168704000003</v>
      </c>
      <c r="K19" s="6">
        <v>4.2712041806925199E-2</v>
      </c>
      <c r="L19" s="4">
        <v>63.445014320921899</v>
      </c>
      <c r="M19" s="4">
        <v>1.7269865212486999</v>
      </c>
      <c r="N19" s="4">
        <v>3.1706522444196801</v>
      </c>
      <c r="O19" s="4">
        <v>0.24981727129360901</v>
      </c>
      <c r="P19" s="4">
        <v>1.8700858880567199</v>
      </c>
      <c r="Q19" s="4">
        <v>0.13086136660229</v>
      </c>
      <c r="R19" s="4">
        <v>12.044849023090601</v>
      </c>
      <c r="S19" s="4">
        <v>0.23549293334365401</v>
      </c>
      <c r="T19" s="4">
        <v>5.81354592102858</v>
      </c>
      <c r="U19" s="4">
        <v>0.18740162680980099</v>
      </c>
    </row>
    <row r="20" spans="1:21" x14ac:dyDescent="0.25">
      <c r="A20" s="7">
        <v>288</v>
      </c>
      <c r="B20" s="8">
        <v>3687500</v>
      </c>
      <c r="C20" s="8">
        <v>625789.50135009503</v>
      </c>
      <c r="D20" s="4">
        <f t="shared" si="0"/>
        <v>3687500000</v>
      </c>
      <c r="E20" s="4">
        <f t="shared" si="0"/>
        <v>625789501.35009503</v>
      </c>
      <c r="F20" s="8">
        <v>431.95639999999997</v>
      </c>
      <c r="G20" s="8">
        <v>4.61276866066361</v>
      </c>
      <c r="H20" s="8">
        <v>34.97498636025</v>
      </c>
      <c r="I20" s="8">
        <v>1.8808878879908899</v>
      </c>
      <c r="J20" s="8">
        <v>5.7045474876000002</v>
      </c>
      <c r="K20" s="8">
        <v>8.7387283567428101E-2</v>
      </c>
      <c r="L20" s="8">
        <v>63.972335087368698</v>
      </c>
      <c r="M20" s="8">
        <v>2.0802337642313899</v>
      </c>
      <c r="N20" s="8">
        <v>3.44821587959026</v>
      </c>
      <c r="O20" s="8">
        <v>0.13050339177779799</v>
      </c>
      <c r="P20" s="8">
        <v>2.0279371357076799</v>
      </c>
      <c r="Q20" s="8">
        <v>4.4180429114877998E-3</v>
      </c>
      <c r="R20" s="8">
        <v>11.933836589698</v>
      </c>
      <c r="S20" s="8">
        <v>0.70647880003096597</v>
      </c>
      <c r="T20" s="8">
        <v>5.5641573499535104</v>
      </c>
      <c r="U20" s="8">
        <v>0.21376673743062799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0F0F-D53C-4C92-BFFE-A5C5947DE90C}">
  <dimension ref="A1:O20"/>
  <sheetViews>
    <sheetView workbookViewId="0">
      <selection activeCell="O1" sqref="O1"/>
    </sheetView>
  </sheetViews>
  <sheetFormatPr defaultRowHeight="15" x14ac:dyDescent="0.25"/>
  <cols>
    <col min="1" max="1" width="25" customWidth="1"/>
    <col min="2" max="2" width="15.28515625" customWidth="1"/>
    <col min="3" max="3" width="15.5703125" customWidth="1"/>
    <col min="4" max="4" width="18.140625" customWidth="1"/>
    <col min="5" max="5" width="19.5703125" customWidth="1"/>
    <col min="6" max="6" width="14.7109375" customWidth="1"/>
    <col min="7" max="7" width="13" customWidth="1"/>
    <col min="8" max="8" width="17.140625" customWidth="1"/>
    <col min="9" max="9" width="14.140625" customWidth="1"/>
    <col min="14" max="14" width="14.42578125" customWidth="1"/>
    <col min="15" max="15" width="14" customWidth="1"/>
  </cols>
  <sheetData>
    <row r="1" spans="1:15" x14ac:dyDescent="0.25">
      <c r="A1" s="1" t="s">
        <v>0</v>
      </c>
      <c r="B1" s="2" t="s">
        <v>24</v>
      </c>
      <c r="C1" s="2" t="s">
        <v>30</v>
      </c>
      <c r="D1" s="2" t="s">
        <v>25</v>
      </c>
      <c r="E1" s="2" t="s">
        <v>31</v>
      </c>
      <c r="F1" s="2" t="s">
        <v>26</v>
      </c>
      <c r="G1" s="2" t="s">
        <v>32</v>
      </c>
      <c r="H1" s="2" t="s">
        <v>27</v>
      </c>
      <c r="I1" s="2" t="s">
        <v>33</v>
      </c>
      <c r="J1" s="2" t="s">
        <v>28</v>
      </c>
      <c r="K1" s="2" t="s">
        <v>34</v>
      </c>
      <c r="L1" s="2" t="s">
        <v>29</v>
      </c>
      <c r="M1" s="2" t="s">
        <v>35</v>
      </c>
      <c r="N1" s="2" t="s">
        <v>39</v>
      </c>
      <c r="O1" s="2" t="s">
        <v>40</v>
      </c>
    </row>
    <row r="2" spans="1:15" x14ac:dyDescent="0.25">
      <c r="A2" s="1" t="s">
        <v>2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</row>
    <row r="3" spans="1:15" x14ac:dyDescent="0.25">
      <c r="A3" s="1"/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</row>
    <row r="4" spans="1:15" x14ac:dyDescent="0.25">
      <c r="A4" s="3">
        <v>0</v>
      </c>
      <c r="B4" s="4">
        <v>4.7239799321301401E-2</v>
      </c>
      <c r="C4" s="4">
        <v>0</v>
      </c>
      <c r="D4" s="4">
        <v>6.6917160934363007E-2</v>
      </c>
      <c r="E4" s="4">
        <v>0</v>
      </c>
      <c r="F4" s="4">
        <v>0.169115153325962</v>
      </c>
      <c r="G4" s="4">
        <v>0</v>
      </c>
      <c r="H4" s="4">
        <v>0.36840674030139298</v>
      </c>
      <c r="I4" s="4">
        <v>0</v>
      </c>
      <c r="J4" s="4">
        <v>0.59749491810172195</v>
      </c>
      <c r="K4" s="4">
        <v>0</v>
      </c>
      <c r="L4" s="4">
        <v>9.9498362140185995E-2</v>
      </c>
      <c r="M4" s="4">
        <v>0</v>
      </c>
      <c r="N4" s="4">
        <v>0.54746745259774499</v>
      </c>
      <c r="O4" s="4">
        <v>0</v>
      </c>
    </row>
    <row r="5" spans="1:15" x14ac:dyDescent="0.25">
      <c r="A5" s="3">
        <v>24</v>
      </c>
    </row>
    <row r="6" spans="1:15" x14ac:dyDescent="0.25">
      <c r="A6" s="3">
        <v>48</v>
      </c>
    </row>
    <row r="7" spans="1:15" x14ac:dyDescent="0.25">
      <c r="A7" s="3">
        <v>72</v>
      </c>
      <c r="B7" s="4"/>
      <c r="C7" s="4"/>
      <c r="D7" s="4">
        <v>4.3530172720706098E-2</v>
      </c>
      <c r="E7" s="10">
        <v>6.8614300403515096E-4</v>
      </c>
      <c r="F7" s="4">
        <v>0.103944714154612</v>
      </c>
      <c r="G7" s="4">
        <v>4.3007925923540203E-3</v>
      </c>
      <c r="H7" s="4">
        <v>0.23903979097419301</v>
      </c>
      <c r="I7" s="4">
        <v>4.3427766393220602E-3</v>
      </c>
      <c r="J7" s="4">
        <v>0.356356048768384</v>
      </c>
      <c r="K7" s="4">
        <v>5.39960954144931E-2</v>
      </c>
      <c r="L7" s="4">
        <v>6.2572202577501304E-2</v>
      </c>
      <c r="M7" s="4">
        <v>5.9008469248275604E-3</v>
      </c>
      <c r="N7" s="4">
        <v>0.52561742210705298</v>
      </c>
      <c r="O7" s="4">
        <v>2.3600531375325098E-2</v>
      </c>
    </row>
    <row r="8" spans="1:15" x14ac:dyDescent="0.25">
      <c r="A8" s="3">
        <v>96</v>
      </c>
      <c r="B8" s="4">
        <v>7.79460864633814E-2</v>
      </c>
      <c r="C8" s="4">
        <v>1.4527576075304401E-3</v>
      </c>
      <c r="D8" s="4">
        <v>6.3481889157967E-2</v>
      </c>
      <c r="E8" s="4">
        <v>1.44063741843396E-3</v>
      </c>
      <c r="F8" s="4">
        <v>0.15609300377113899</v>
      </c>
      <c r="G8" s="4">
        <v>9.5301654035117502E-3</v>
      </c>
      <c r="H8" s="4">
        <v>0.33534438697131502</v>
      </c>
      <c r="I8" s="4">
        <v>1.01736780737184E-2</v>
      </c>
      <c r="J8" s="4">
        <v>0.476664028900121</v>
      </c>
      <c r="K8" s="4">
        <v>1.1758742227219499E-2</v>
      </c>
      <c r="L8" s="4">
        <v>6.5016992509142696E-2</v>
      </c>
      <c r="M8" s="4">
        <v>5.5652976652002303E-3</v>
      </c>
      <c r="N8" s="4">
        <v>0.86600634026690404</v>
      </c>
      <c r="O8" s="4">
        <v>2.9836651076527401E-2</v>
      </c>
    </row>
    <row r="9" spans="1:15" x14ac:dyDescent="0.25">
      <c r="A9" s="3">
        <v>96.01</v>
      </c>
    </row>
    <row r="10" spans="1:15" x14ac:dyDescent="0.25">
      <c r="A10" s="3">
        <v>120</v>
      </c>
      <c r="B10" s="4">
        <v>0.42818984817074501</v>
      </c>
      <c r="C10" s="4">
        <v>0.111803280592546</v>
      </c>
      <c r="D10" s="4">
        <v>7.4460631101362404E-2</v>
      </c>
      <c r="E10" s="4">
        <v>6.8035942315822903E-3</v>
      </c>
      <c r="F10" s="4">
        <v>0.57447629030055203</v>
      </c>
      <c r="G10" s="4">
        <v>4.8703810327876802E-2</v>
      </c>
      <c r="H10" s="4">
        <v>0.69607411024559995</v>
      </c>
      <c r="I10" s="4">
        <v>4.5361749589931902E-2</v>
      </c>
      <c r="J10" s="4">
        <v>0.58015464832627806</v>
      </c>
      <c r="K10" s="4">
        <v>7.2260649024704193E-2</v>
      </c>
      <c r="L10" s="4">
        <v>7.0324742875478394E-2</v>
      </c>
      <c r="M10" s="4">
        <v>8.1291906268830694E-3</v>
      </c>
      <c r="N10" s="4">
        <v>2.2450456369743899</v>
      </c>
      <c r="O10" s="4">
        <v>0.33661810540595399</v>
      </c>
    </row>
    <row r="11" spans="1:15" x14ac:dyDescent="0.25">
      <c r="A11" s="3">
        <v>144</v>
      </c>
      <c r="B11" s="4">
        <v>0.67692747735095304</v>
      </c>
      <c r="C11" s="4">
        <v>1.9547266995633202E-2</v>
      </c>
      <c r="D11" s="4">
        <v>0.13403508450500901</v>
      </c>
      <c r="E11" s="4">
        <v>8.8331053393031402E-3</v>
      </c>
      <c r="F11" s="4">
        <v>0.51687723362066795</v>
      </c>
      <c r="G11" s="4">
        <v>3.1500639958460697E-2</v>
      </c>
      <c r="H11" s="4">
        <v>0.81602801309529605</v>
      </c>
      <c r="I11" s="4">
        <v>1.6531503073685901E-2</v>
      </c>
      <c r="J11" s="4">
        <v>0.35316025325462902</v>
      </c>
      <c r="K11" s="4">
        <v>7.5151441682434705E-2</v>
      </c>
      <c r="L11" s="4">
        <v>5.9688268073688301E-2</v>
      </c>
      <c r="M11" s="4">
        <v>1.22113976417967E-2</v>
      </c>
      <c r="N11" s="4">
        <v>1.45749782464408</v>
      </c>
      <c r="O11" s="4">
        <v>0.27627792024811898</v>
      </c>
    </row>
    <row r="12" spans="1:15" x14ac:dyDescent="0.25">
      <c r="A12" s="3">
        <v>144.01</v>
      </c>
    </row>
    <row r="13" spans="1:15" x14ac:dyDescent="0.25">
      <c r="A13" s="3">
        <v>168</v>
      </c>
      <c r="B13" s="4">
        <v>0.58864481390130396</v>
      </c>
      <c r="C13" s="4">
        <v>3.73268153848135E-2</v>
      </c>
      <c r="D13" s="4">
        <v>0.17155539053032101</v>
      </c>
      <c r="E13" s="4">
        <v>3.1704538807141602E-3</v>
      </c>
      <c r="F13" s="4">
        <v>0.60486235314596803</v>
      </c>
      <c r="G13" s="4"/>
      <c r="H13" s="4">
        <v>0.96051970956816901</v>
      </c>
      <c r="I13" s="4">
        <v>4.7886350409590897E-3</v>
      </c>
      <c r="J13" s="4">
        <v>0.44802719459059298</v>
      </c>
      <c r="K13" s="4">
        <v>2.3865846360339002E-3</v>
      </c>
      <c r="L13" s="4">
        <v>3.9078623405985197E-2</v>
      </c>
      <c r="M13" s="4">
        <v>1.05799979264816E-2</v>
      </c>
      <c r="N13" s="4">
        <v>1.0332112688159401</v>
      </c>
      <c r="O13" s="4">
        <v>1.4004543100414E-2</v>
      </c>
    </row>
    <row r="14" spans="1:15" x14ac:dyDescent="0.25">
      <c r="A14" s="5">
        <v>192</v>
      </c>
      <c r="B14" s="4">
        <v>0.60554301543824096</v>
      </c>
      <c r="C14" s="4">
        <v>1.10905641745618E-2</v>
      </c>
      <c r="D14" s="4">
        <v>0.19077097730121101</v>
      </c>
      <c r="E14" s="4">
        <v>4.1825805341759604E-3</v>
      </c>
      <c r="F14" s="4">
        <v>0.64557816936563095</v>
      </c>
      <c r="G14" s="4">
        <v>1.65900408469523E-2</v>
      </c>
      <c r="H14" s="4">
        <v>1.16404050176361</v>
      </c>
      <c r="I14" s="4">
        <v>2.2860376229391299E-2</v>
      </c>
      <c r="J14" s="4">
        <v>0.56101660852551605</v>
      </c>
      <c r="K14" s="4">
        <v>6.3010723681202196E-3</v>
      </c>
      <c r="L14" s="4">
        <v>2.7740828168040601E-2</v>
      </c>
      <c r="M14" s="4">
        <v>2.74371770303009E-3</v>
      </c>
      <c r="N14" s="4">
        <v>1.0567495471320201</v>
      </c>
      <c r="O14" s="4">
        <v>5.9561306533930901E-2</v>
      </c>
    </row>
    <row r="15" spans="1:15" x14ac:dyDescent="0.25">
      <c r="A15" s="4">
        <v>192.01</v>
      </c>
    </row>
    <row r="16" spans="1:15" x14ac:dyDescent="0.25">
      <c r="A16" s="9">
        <v>216</v>
      </c>
      <c r="B16" s="4">
        <v>0.59318533559928499</v>
      </c>
      <c r="C16" s="4">
        <v>7.5748120240882299E-3</v>
      </c>
      <c r="D16" s="4">
        <v>0.17773627724921501</v>
      </c>
      <c r="E16" s="4">
        <v>6.6327157056731596E-3</v>
      </c>
      <c r="F16" s="4">
        <v>0.43961143237789102</v>
      </c>
      <c r="G16" s="4">
        <v>1.66789001980341E-2</v>
      </c>
      <c r="H16" s="4">
        <v>1.0863449950402</v>
      </c>
      <c r="I16" s="4">
        <v>5.1453217622687598E-2</v>
      </c>
      <c r="J16" s="4">
        <v>0.52533346646050805</v>
      </c>
      <c r="K16" s="4">
        <v>3.27888004412853E-2</v>
      </c>
      <c r="L16" s="4">
        <v>2.6019643620992201E-2</v>
      </c>
      <c r="M16" s="4">
        <v>3.1942064880546299E-3</v>
      </c>
      <c r="N16" s="4">
        <v>0.95690894652414205</v>
      </c>
      <c r="O16" s="10">
        <v>2.6471691792859697E-4</v>
      </c>
    </row>
    <row r="17" spans="1:15" x14ac:dyDescent="0.25">
      <c r="A17" s="9">
        <v>240</v>
      </c>
      <c r="B17" s="4">
        <v>0.52594886714456901</v>
      </c>
      <c r="C17" s="4">
        <v>3.9992172838195797E-2</v>
      </c>
      <c r="D17" s="4">
        <v>0.35711211602807402</v>
      </c>
      <c r="E17" s="4">
        <v>1.4595655013038999E-2</v>
      </c>
      <c r="F17" s="4">
        <v>0.48611103082443602</v>
      </c>
      <c r="G17" s="4">
        <v>2.3858735765434698E-3</v>
      </c>
      <c r="H17" s="4">
        <v>2.4897610293226502</v>
      </c>
      <c r="I17" s="4">
        <v>7.7706749999604001E-3</v>
      </c>
      <c r="J17" s="4">
        <v>0.84066492183866404</v>
      </c>
      <c r="K17" s="4">
        <v>5.2474303930825E-2</v>
      </c>
      <c r="L17" s="4">
        <v>5.97682317122031E-2</v>
      </c>
      <c r="M17" s="4">
        <v>2.0781807737140001E-2</v>
      </c>
      <c r="N17" s="4">
        <v>1.10054679935282</v>
      </c>
      <c r="O17" s="4">
        <v>0.119820040332404</v>
      </c>
    </row>
    <row r="18" spans="1:15" x14ac:dyDescent="0.25">
      <c r="A18" s="9">
        <v>240.01</v>
      </c>
    </row>
    <row r="19" spans="1:15" x14ac:dyDescent="0.25">
      <c r="A19" s="9">
        <v>264</v>
      </c>
      <c r="B19" s="4">
        <v>0.68271239708633402</v>
      </c>
      <c r="C19" s="4">
        <v>0.143917491445191</v>
      </c>
      <c r="D19" s="4">
        <v>0.45461025964289697</v>
      </c>
      <c r="E19" s="4">
        <v>8.5920351727513097E-2</v>
      </c>
      <c r="F19" s="4">
        <v>0.83984539249518997</v>
      </c>
      <c r="G19" s="4">
        <v>5.9633510510925199E-2</v>
      </c>
      <c r="H19" s="4">
        <v>3.5041140294894402</v>
      </c>
      <c r="I19" s="4">
        <v>0.23663500389223199</v>
      </c>
      <c r="J19" s="4">
        <v>0.93555779254999205</v>
      </c>
      <c r="K19" s="4">
        <v>3.2782688828901098E-2</v>
      </c>
      <c r="L19" s="4">
        <v>3.6814734820492002E-2</v>
      </c>
      <c r="M19" s="4"/>
      <c r="N19" s="4">
        <v>6.4010798220274303</v>
      </c>
      <c r="O19" s="4">
        <v>0.151733701072679</v>
      </c>
    </row>
    <row r="20" spans="1:15" x14ac:dyDescent="0.25">
      <c r="A20" s="7">
        <v>288</v>
      </c>
      <c r="B20" s="8">
        <v>1.1315058020239399</v>
      </c>
      <c r="C20" s="8">
        <v>0.30323657573769702</v>
      </c>
      <c r="D20" s="8">
        <v>0.46914510272711801</v>
      </c>
      <c r="E20" s="8">
        <v>0.17681984080997901</v>
      </c>
      <c r="F20" s="8">
        <v>0.79152677725920095</v>
      </c>
      <c r="G20" s="8">
        <v>0.39043021678274997</v>
      </c>
      <c r="H20" s="8">
        <v>3.4934644714694398</v>
      </c>
      <c r="I20" s="8">
        <v>1.13175075368273</v>
      </c>
      <c r="J20" s="8">
        <v>0.52322022236824905</v>
      </c>
      <c r="K20" s="8">
        <v>8.6020944307752797E-2</v>
      </c>
      <c r="L20" s="8">
        <v>2.6861228144377601E-2</v>
      </c>
      <c r="M20" s="8">
        <v>2.0702091614687199E-2</v>
      </c>
      <c r="N20" s="8">
        <v>4.5888555715720303</v>
      </c>
      <c r="O20" s="8">
        <v>0.38737757441875897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B251-58CA-41EF-B83C-373C06D22AF6}">
  <dimension ref="A1:G4"/>
  <sheetViews>
    <sheetView tabSelected="1" workbookViewId="0">
      <selection activeCell="G4" sqref="A1:G4"/>
    </sheetView>
  </sheetViews>
  <sheetFormatPr defaultRowHeight="15" x14ac:dyDescent="0.25"/>
  <sheetData>
    <row r="1" spans="1:7" x14ac:dyDescent="0.25">
      <c r="A1" t="s">
        <v>47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5">
      <c r="A2">
        <v>216</v>
      </c>
      <c r="B2">
        <v>1.0824949049699599</v>
      </c>
      <c r="C2">
        <v>8.6957203006441404</v>
      </c>
      <c r="D2">
        <v>34.5977393995394</v>
      </c>
      <c r="E2">
        <v>41.417078553281598</v>
      </c>
      <c r="F2">
        <v>3.9215944148914601</v>
      </c>
      <c r="G2">
        <v>7.4668204804446701</v>
      </c>
    </row>
    <row r="3" spans="1:7" x14ac:dyDescent="0.25">
      <c r="A3">
        <v>264</v>
      </c>
      <c r="B3">
        <v>1.22659047845292</v>
      </c>
      <c r="C3">
        <v>6.4722225365627901</v>
      </c>
      <c r="D3">
        <v>37.414961066532904</v>
      </c>
      <c r="E3">
        <v>40.381732923372688</v>
      </c>
      <c r="F3">
        <v>3.8641988312940398</v>
      </c>
      <c r="G3">
        <v>7.2047894612543901</v>
      </c>
    </row>
    <row r="4" spans="1:7" x14ac:dyDescent="0.25">
      <c r="A4">
        <v>288</v>
      </c>
      <c r="B4">
        <v>1.44519</v>
      </c>
      <c r="C4">
        <v>9.3922699999999999</v>
      </c>
      <c r="D4">
        <v>38.797899999999998</v>
      </c>
      <c r="E4">
        <v>39.257310000000004</v>
      </c>
      <c r="F4">
        <v>3.5461399999999998</v>
      </c>
      <c r="G4">
        <v>6.6918300000000004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49D4-A3D8-4534-9291-74D6B4C1CABE}">
  <dimension ref="A1:E19"/>
  <sheetViews>
    <sheetView workbookViewId="0">
      <selection sqref="A1:A1048576"/>
    </sheetView>
  </sheetViews>
  <sheetFormatPr defaultRowHeight="15" x14ac:dyDescent="0.25"/>
  <cols>
    <col min="1" max="1" width="25" customWidth="1"/>
    <col min="2" max="2" width="16.28515625" customWidth="1"/>
    <col min="3" max="3" width="19.5703125" customWidth="1"/>
    <col min="5" max="5" width="17.7109375" customWidth="1"/>
  </cols>
  <sheetData>
    <row r="1" spans="1:5" x14ac:dyDescent="0.25">
      <c r="A1" s="1" t="s">
        <v>0</v>
      </c>
      <c r="B1" s="2" t="s">
        <v>21</v>
      </c>
      <c r="C1" s="2" t="s">
        <v>14</v>
      </c>
      <c r="D1" s="2" t="s">
        <v>22</v>
      </c>
      <c r="E1" s="2" t="s">
        <v>23</v>
      </c>
    </row>
    <row r="2" spans="1:5" x14ac:dyDescent="0.25">
      <c r="A2" s="1" t="s">
        <v>2</v>
      </c>
      <c r="B2" s="2" t="s">
        <v>9</v>
      </c>
      <c r="C2" s="2" t="s">
        <v>9</v>
      </c>
      <c r="D2" s="2" t="s">
        <v>9</v>
      </c>
      <c r="E2" s="2" t="s">
        <v>9</v>
      </c>
    </row>
    <row r="3" spans="1:5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</row>
    <row r="4" spans="1:5" x14ac:dyDescent="0.25">
      <c r="A4" s="3">
        <v>24</v>
      </c>
      <c r="B4" s="4">
        <v>0</v>
      </c>
      <c r="C4" s="4">
        <v>0</v>
      </c>
      <c r="D4" s="4">
        <v>0</v>
      </c>
      <c r="E4" s="4">
        <v>0</v>
      </c>
    </row>
    <row r="5" spans="1:5" x14ac:dyDescent="0.25">
      <c r="A5" s="3">
        <v>48</v>
      </c>
      <c r="B5" s="4">
        <v>0</v>
      </c>
      <c r="C5" s="4">
        <v>0</v>
      </c>
      <c r="D5" s="4">
        <v>0</v>
      </c>
      <c r="E5" s="4">
        <v>0</v>
      </c>
    </row>
    <row r="6" spans="1:5" x14ac:dyDescent="0.25">
      <c r="A6" s="3">
        <v>72</v>
      </c>
      <c r="B6" s="4">
        <v>0</v>
      </c>
      <c r="C6" s="4">
        <v>0</v>
      </c>
      <c r="D6" s="4">
        <v>0</v>
      </c>
      <c r="E6" s="4">
        <v>0</v>
      </c>
    </row>
    <row r="7" spans="1:5" x14ac:dyDescent="0.25">
      <c r="A7" s="3">
        <v>96</v>
      </c>
      <c r="B7" s="4">
        <v>0</v>
      </c>
      <c r="C7" s="4">
        <v>0</v>
      </c>
      <c r="D7" s="4">
        <v>0</v>
      </c>
      <c r="E7" s="4">
        <v>0</v>
      </c>
    </row>
    <row r="8" spans="1:5" x14ac:dyDescent="0.25">
      <c r="A8" s="3">
        <v>96.001000000000005</v>
      </c>
      <c r="B8" s="4">
        <v>7.9345999999999997</v>
      </c>
      <c r="C8" s="4">
        <v>0</v>
      </c>
      <c r="D8" s="4">
        <v>1.5869200000000001</v>
      </c>
      <c r="E8" s="4">
        <v>0</v>
      </c>
    </row>
    <row r="9" spans="1:5" x14ac:dyDescent="0.25">
      <c r="A9" s="3">
        <v>120</v>
      </c>
      <c r="B9" s="4">
        <v>7.9961273944000002</v>
      </c>
      <c r="C9" s="4">
        <v>0.74292714110092695</v>
      </c>
      <c r="D9" s="4">
        <v>1.5539991922</v>
      </c>
      <c r="E9" s="4">
        <v>1.4310967267234301E-3</v>
      </c>
    </row>
    <row r="10" spans="1:5" x14ac:dyDescent="0.25">
      <c r="A10" s="3">
        <v>144</v>
      </c>
      <c r="B10" s="4">
        <v>7.1104849122999996</v>
      </c>
      <c r="C10" s="4">
        <v>0.58484626438746901</v>
      </c>
      <c r="D10" s="4">
        <v>1.5023313214</v>
      </c>
      <c r="E10" s="10">
        <v>5.3521393100617904E-4</v>
      </c>
    </row>
    <row r="11" spans="1:5" x14ac:dyDescent="0.25">
      <c r="A11" s="3">
        <v>144.001</v>
      </c>
      <c r="B11" s="4">
        <v>7.9375364210699999</v>
      </c>
      <c r="C11" s="4">
        <v>0</v>
      </c>
      <c r="D11" s="4">
        <v>1.6597181892599999</v>
      </c>
      <c r="E11" s="4">
        <v>0</v>
      </c>
    </row>
    <row r="12" spans="1:5" x14ac:dyDescent="0.25">
      <c r="A12" s="3">
        <v>168</v>
      </c>
      <c r="B12" s="4">
        <v>7.7121530160000002</v>
      </c>
      <c r="C12" s="4">
        <v>0.31743045770732597</v>
      </c>
      <c r="D12" s="4">
        <v>1.5506889164</v>
      </c>
      <c r="E12" s="4">
        <v>1.0774442280437099E-2</v>
      </c>
    </row>
    <row r="13" spans="1:5" x14ac:dyDescent="0.25">
      <c r="A13" s="5">
        <v>192</v>
      </c>
      <c r="B13" s="6">
        <v>7.3544571292000001</v>
      </c>
      <c r="C13" s="6">
        <v>0.21676626455596501</v>
      </c>
      <c r="D13" s="6">
        <v>1.579381232</v>
      </c>
      <c r="E13" s="6">
        <v>1.0060708494497099E-2</v>
      </c>
    </row>
    <row r="14" spans="1:5" x14ac:dyDescent="0.25">
      <c r="A14" s="4">
        <v>192.001</v>
      </c>
      <c r="B14" s="4">
        <v>7.7176114162799996</v>
      </c>
      <c r="C14" s="4">
        <v>0</v>
      </c>
      <c r="D14" s="4">
        <v>1.6411631088</v>
      </c>
      <c r="E14" s="4">
        <v>0</v>
      </c>
    </row>
    <row r="15" spans="1:5" x14ac:dyDescent="0.25">
      <c r="A15" s="9">
        <v>216</v>
      </c>
      <c r="B15" s="6">
        <v>6.5842455040000001</v>
      </c>
      <c r="C15" s="6">
        <v>0.26943032985811299</v>
      </c>
      <c r="D15" s="6">
        <v>1.5142441106</v>
      </c>
      <c r="E15" s="11">
        <v>4.5606379203265099E-4</v>
      </c>
    </row>
    <row r="16" spans="1:5" x14ac:dyDescent="0.25">
      <c r="A16" s="9">
        <v>240</v>
      </c>
      <c r="B16" s="6">
        <v>6.7395151914999998</v>
      </c>
      <c r="C16" s="6">
        <v>1.79837424747383</v>
      </c>
      <c r="D16" s="6">
        <v>1.5171464828000001</v>
      </c>
      <c r="E16" s="6">
        <v>1.45681188104494E-2</v>
      </c>
    </row>
    <row r="17" spans="1:5" x14ac:dyDescent="0.25">
      <c r="A17" s="9">
        <v>240.001</v>
      </c>
      <c r="B17" s="6">
        <v>30.894663672349999</v>
      </c>
      <c r="C17" s="6">
        <v>0</v>
      </c>
      <c r="D17" s="6">
        <v>6.3312518345199997</v>
      </c>
      <c r="E17" s="6">
        <v>0</v>
      </c>
    </row>
    <row r="18" spans="1:5" x14ac:dyDescent="0.25">
      <c r="A18" s="9">
        <v>264</v>
      </c>
      <c r="B18" s="6">
        <v>34.447262733000002</v>
      </c>
      <c r="C18" s="6">
        <v>0.79834870435371097</v>
      </c>
      <c r="D18" s="6">
        <v>5.9654168704000003</v>
      </c>
      <c r="E18" s="6">
        <v>4.2712041806925199E-2</v>
      </c>
    </row>
    <row r="19" spans="1:5" x14ac:dyDescent="0.25">
      <c r="A19" s="7">
        <v>288</v>
      </c>
      <c r="B19" s="8">
        <v>34.97498636025</v>
      </c>
      <c r="C19" s="8">
        <v>1.8808878879908899</v>
      </c>
      <c r="D19" s="8">
        <v>5.7045474876000002</v>
      </c>
      <c r="E19" s="8">
        <v>8.7387283567428101E-2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Metabolites</vt:lpstr>
      <vt:lpstr>NSD</vt:lpstr>
      <vt:lpstr>Glycan</vt:lpstr>
      <vt:lpstr>GalUrd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 Yu</dc:creator>
  <cp:lastModifiedBy>Yu, Luxi</cp:lastModifiedBy>
  <dcterms:created xsi:type="dcterms:W3CDTF">2015-06-05T18:17:20Z</dcterms:created>
  <dcterms:modified xsi:type="dcterms:W3CDTF">2025-05-11T19:14:16Z</dcterms:modified>
</cp:coreProperties>
</file>
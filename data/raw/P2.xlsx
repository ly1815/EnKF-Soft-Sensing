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y1815_ic_ac_uk/Documents/PhD/Data/Pavlos's Work/Pavlos-chapter 5/Pavlos_Data_Excel/"/>
    </mc:Choice>
  </mc:AlternateContent>
  <xr:revisionPtr revIDLastSave="93" documentId="8_{4149723B-AC0A-4198-88BE-174B3A6762AA}" xr6:coauthVersionLast="47" xr6:coauthVersionMax="47" xr10:uidLastSave="{FB1C358D-00FC-471B-A7EC-A6ED8D141178}"/>
  <bookViews>
    <workbookView minimized="1" xWindow="690" yWindow="1673" windowWidth="20505" windowHeight="12682" activeTab="1" xr2:uid="{00000000-000D-0000-FFFF-FFFF00000000}"/>
  </bookViews>
  <sheets>
    <sheet name="Metabolites" sheetId="1" r:id="rId1"/>
    <sheet name="NSD" sheetId="3" r:id="rId2"/>
    <sheet name="GalUr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4" i="1"/>
</calcChain>
</file>

<file path=xl/sharedStrings.xml><?xml version="1.0" encoding="utf-8"?>
<sst xmlns="http://schemas.openxmlformats.org/spreadsheetml/2006/main" count="118" uniqueCount="43">
  <si>
    <t>Cell culture period</t>
  </si>
  <si>
    <t>hours</t>
  </si>
  <si>
    <t>cell·mL^(-1)</t>
  </si>
  <si>
    <t>Xv</t>
  </si>
  <si>
    <t>mg·L^(-1)</t>
  </si>
  <si>
    <t>mAb</t>
  </si>
  <si>
    <t>Xv_STDEV</t>
  </si>
  <si>
    <t>mAb_STDEV</t>
  </si>
  <si>
    <t>mM</t>
  </si>
  <si>
    <t>Amm_STDEV</t>
  </si>
  <si>
    <t>Amm</t>
  </si>
  <si>
    <t>Gal_STDEV</t>
  </si>
  <si>
    <t>Gal</t>
  </si>
  <si>
    <t>Urd</t>
  </si>
  <si>
    <t>Urd_STDEV</t>
  </si>
  <si>
    <t>UDPGal</t>
  </si>
  <si>
    <t>UDPGalNAc</t>
  </si>
  <si>
    <t>UDPGlc</t>
  </si>
  <si>
    <t>UDPGlcNAc</t>
  </si>
  <si>
    <t>GDPMan</t>
  </si>
  <si>
    <t>GDPFuc</t>
  </si>
  <si>
    <t>cell·L^(-1)</t>
  </si>
  <si>
    <t>Xv_Ml</t>
  </si>
  <si>
    <t>Xv_mL_STDEV</t>
  </si>
  <si>
    <t>CMPNeu5Ac</t>
  </si>
  <si>
    <t>P2</t>
  </si>
  <si>
    <t>Glc</t>
  </si>
  <si>
    <t>Glc_STDEV</t>
  </si>
  <si>
    <t>Gln</t>
  </si>
  <si>
    <t>Gln_STDEV</t>
  </si>
  <si>
    <t>Lac</t>
  </si>
  <si>
    <t>Lac_STDEV</t>
  </si>
  <si>
    <t>Asn</t>
  </si>
  <si>
    <t>Asn_STDEV</t>
  </si>
  <si>
    <t>UDPGal_STDEV</t>
  </si>
  <si>
    <t>UDPGalNAc_STDEV</t>
  </si>
  <si>
    <t>UDPGlc_STDEV</t>
  </si>
  <si>
    <t>UDPGlcNAc_STDEV</t>
  </si>
  <si>
    <t>GDPMan_STDEV</t>
  </si>
  <si>
    <t>GDPFuc_STDEV</t>
  </si>
  <si>
    <t>CMPNeu5Ac_STDEV</t>
  </si>
  <si>
    <t>F</t>
  </si>
  <si>
    <t>G (Error)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</si>
</sst>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 style="thin">
        <color theme="2" tint="-0.749961851863155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749961851863155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749961851863155"/>
      </top>
      <bottom style="thin">
        <color theme="2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zoomScale="66" zoomScaleNormal="64" workbookViewId="0">
      <selection sqref="A1:XFD3"/>
    </sheetView>
  </sheetViews>
  <sheetFormatPr defaultRowHeight="14.25" x14ac:dyDescent="0.45"/>
  <cols>
    <col min="1" max="1" width="25" customWidth="1"/>
    <col min="2" max="2" width="23.73046875" customWidth="1"/>
    <col min="3" max="3" width="15.265625" customWidth="1"/>
    <col min="4" max="5" width="23.73046875" customWidth="1"/>
    <col min="6" max="6" width="11.86328125" customWidth="1"/>
    <col min="7" max="7" width="20.59765625" customWidth="1"/>
    <col min="8" max="9" width="20.73046875" customWidth="1"/>
    <col min="11" max="11" width="17.73046875" customWidth="1"/>
    <col min="12" max="13" width="20.73046875" customWidth="1"/>
    <col min="15" max="15" width="13.3984375" customWidth="1"/>
    <col min="16" max="21" width="20.73046875" customWidth="1"/>
  </cols>
  <sheetData>
    <row r="1" spans="1:21" x14ac:dyDescent="0.45">
      <c r="A1" s="1" t="s">
        <v>0</v>
      </c>
      <c r="B1" s="2" t="s">
        <v>22</v>
      </c>
      <c r="C1" s="2" t="s">
        <v>23</v>
      </c>
      <c r="D1" s="2" t="s">
        <v>3</v>
      </c>
      <c r="E1" s="2" t="s">
        <v>6</v>
      </c>
      <c r="F1" s="2" t="s">
        <v>5</v>
      </c>
      <c r="G1" s="2" t="s">
        <v>7</v>
      </c>
      <c r="H1" s="2" t="s">
        <v>12</v>
      </c>
      <c r="I1" s="2" t="s">
        <v>11</v>
      </c>
      <c r="J1" s="2" t="s">
        <v>13</v>
      </c>
      <c r="K1" s="2" t="s">
        <v>14</v>
      </c>
      <c r="L1" s="2" t="s">
        <v>26</v>
      </c>
      <c r="M1" s="2" t="s">
        <v>27</v>
      </c>
      <c r="N1" s="2" t="s">
        <v>10</v>
      </c>
      <c r="O1" s="2" t="s">
        <v>9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 x14ac:dyDescent="0.45">
      <c r="A2" s="1" t="s">
        <v>1</v>
      </c>
      <c r="B2" s="2" t="s">
        <v>2</v>
      </c>
      <c r="C2" s="2" t="s">
        <v>2</v>
      </c>
      <c r="D2" s="2" t="s">
        <v>21</v>
      </c>
      <c r="E2" s="2" t="s">
        <v>21</v>
      </c>
      <c r="F2" s="2" t="s">
        <v>4</v>
      </c>
      <c r="G2" s="2" t="s">
        <v>4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 t="s">
        <v>8</v>
      </c>
      <c r="S2" s="2" t="s">
        <v>8</v>
      </c>
      <c r="T2" s="2" t="s">
        <v>8</v>
      </c>
      <c r="U2" s="2" t="s">
        <v>8</v>
      </c>
    </row>
    <row r="3" spans="1:21" x14ac:dyDescent="0.45">
      <c r="A3" s="1"/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</row>
    <row r="4" spans="1:21" x14ac:dyDescent="0.45">
      <c r="A4" s="3">
        <v>0</v>
      </c>
      <c r="B4" s="4">
        <v>200000</v>
      </c>
      <c r="C4" s="4">
        <v>0</v>
      </c>
      <c r="D4" s="4">
        <f>B4*1000</f>
        <v>200000000</v>
      </c>
      <c r="E4" s="4">
        <f>C4*1000</f>
        <v>0</v>
      </c>
      <c r="F4" s="4">
        <v>7.0514999999999999</v>
      </c>
      <c r="G4" s="4">
        <v>1.3498668452851199</v>
      </c>
      <c r="H4" s="4">
        <v>0</v>
      </c>
      <c r="I4" s="4">
        <v>0</v>
      </c>
      <c r="J4" s="4">
        <v>0</v>
      </c>
      <c r="K4" s="4">
        <v>0</v>
      </c>
      <c r="L4" s="4">
        <v>28.3087990408313</v>
      </c>
      <c r="M4" s="4">
        <v>0</v>
      </c>
      <c r="N4" s="4">
        <v>0.1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5.0873476999999996</v>
      </c>
      <c r="U4" s="4">
        <v>0</v>
      </c>
    </row>
    <row r="5" spans="1:21" x14ac:dyDescent="0.45">
      <c r="A5" s="3">
        <v>24</v>
      </c>
      <c r="B5" s="4">
        <v>352500.5</v>
      </c>
      <c r="C5" s="4">
        <v>175361.77462748301</v>
      </c>
      <c r="D5" s="4">
        <f t="shared" ref="D5:D20" si="0">B5*1000</f>
        <v>352500500</v>
      </c>
      <c r="E5" s="4">
        <f t="shared" ref="E5:E20" si="1">C5*1000</f>
        <v>175361774.62748301</v>
      </c>
      <c r="F5" s="4">
        <v>9.7865000000000002</v>
      </c>
      <c r="G5" s="4">
        <v>0.21283914113715099</v>
      </c>
      <c r="H5" s="4">
        <v>0</v>
      </c>
      <c r="I5" s="4">
        <v>0</v>
      </c>
      <c r="J5" s="4">
        <v>0</v>
      </c>
      <c r="K5" s="4">
        <v>0</v>
      </c>
      <c r="L5" s="4">
        <v>27.281911232487399</v>
      </c>
      <c r="M5" s="4">
        <v>0.58874540497114902</v>
      </c>
      <c r="N5" s="4">
        <v>0.36142425217784602</v>
      </c>
      <c r="O5" s="4">
        <v>0.100318463679786</v>
      </c>
      <c r="P5" s="4">
        <v>6.3722451983294195E-2</v>
      </c>
      <c r="Q5" s="4">
        <v>1.82873522488981E-2</v>
      </c>
      <c r="R5" s="4">
        <v>0</v>
      </c>
      <c r="S5" s="4">
        <v>0</v>
      </c>
      <c r="T5" s="4">
        <v>6.0536910812781199</v>
      </c>
      <c r="U5" s="4">
        <v>0.27809430902766302</v>
      </c>
    </row>
    <row r="6" spans="1:21" x14ac:dyDescent="0.45">
      <c r="A6" s="3">
        <v>48</v>
      </c>
      <c r="B6" s="4">
        <v>476500</v>
      </c>
      <c r="C6" s="4">
        <v>27577.164466275401</v>
      </c>
      <c r="D6" s="4">
        <f t="shared" si="0"/>
        <v>476500000</v>
      </c>
      <c r="E6" s="4">
        <f t="shared" si="1"/>
        <v>27577164.466275401</v>
      </c>
      <c r="F6" s="4">
        <v>21.754999999999999</v>
      </c>
      <c r="G6" s="4">
        <v>2.62336615820209</v>
      </c>
      <c r="H6" s="4">
        <v>0</v>
      </c>
      <c r="I6" s="4">
        <v>0</v>
      </c>
      <c r="J6" s="4">
        <v>0</v>
      </c>
      <c r="K6" s="4">
        <v>0</v>
      </c>
      <c r="L6" s="4">
        <v>27.670463376185101</v>
      </c>
      <c r="M6" s="4">
        <v>0.27474785565319998</v>
      </c>
      <c r="N6" s="4">
        <v>0.63459857547019605</v>
      </c>
      <c r="O6" s="4">
        <v>2.3875961490906698E-2</v>
      </c>
      <c r="P6" s="4">
        <v>0.13668696435320199</v>
      </c>
      <c r="Q6" s="4">
        <v>9.2124215153676307E-3</v>
      </c>
      <c r="R6" s="4">
        <v>0</v>
      </c>
      <c r="S6" s="4">
        <v>0</v>
      </c>
      <c r="T6" s="4">
        <v>5.7940654287720701</v>
      </c>
      <c r="U6" s="4">
        <v>0.157952734880664</v>
      </c>
    </row>
    <row r="7" spans="1:21" x14ac:dyDescent="0.45">
      <c r="A7" s="3">
        <v>72</v>
      </c>
      <c r="B7" s="4">
        <v>669500</v>
      </c>
      <c r="C7" s="4">
        <v>38183.766184073596</v>
      </c>
      <c r="D7" s="4">
        <f t="shared" si="0"/>
        <v>669500000</v>
      </c>
      <c r="E7" s="4">
        <f t="shared" si="1"/>
        <v>38183766.184073597</v>
      </c>
      <c r="F7" s="4">
        <v>28.98</v>
      </c>
      <c r="G7" s="4">
        <v>3.7759502115361601</v>
      </c>
      <c r="H7" s="4">
        <v>0</v>
      </c>
      <c r="I7" s="4">
        <v>0</v>
      </c>
      <c r="J7" s="4">
        <v>0</v>
      </c>
      <c r="K7" s="4">
        <v>0</v>
      </c>
      <c r="L7" s="4">
        <v>38.855214369768397</v>
      </c>
      <c r="M7" s="4">
        <v>7.8499387329479794E-2</v>
      </c>
      <c r="N7" s="4">
        <v>0.76694199924324502</v>
      </c>
      <c r="O7" s="4">
        <v>4.8794507130932599E-2</v>
      </c>
      <c r="P7" s="4">
        <v>0.17819854477075101</v>
      </c>
      <c r="Q7" s="4">
        <v>9.7634894891656093E-3</v>
      </c>
      <c r="R7" s="4">
        <v>2.8308170515097699</v>
      </c>
      <c r="S7" s="4">
        <v>7.8497644447884804E-2</v>
      </c>
      <c r="T7" s="4">
        <v>4.4115817680571299</v>
      </c>
      <c r="U7" s="4">
        <v>6.7316231264604301E-2</v>
      </c>
    </row>
    <row r="8" spans="1:21" x14ac:dyDescent="0.45">
      <c r="A8" s="3">
        <v>96</v>
      </c>
      <c r="B8" s="4">
        <v>847250</v>
      </c>
      <c r="C8" s="10">
        <v>8838.8347648318395</v>
      </c>
      <c r="D8" s="4">
        <f t="shared" si="0"/>
        <v>847250000</v>
      </c>
      <c r="E8" s="4">
        <f t="shared" si="1"/>
        <v>8838834.7648318391</v>
      </c>
      <c r="F8" s="4">
        <v>59.414999999999999</v>
      </c>
      <c r="G8" s="4">
        <v>2.8496403281817901</v>
      </c>
      <c r="H8" s="4">
        <v>0</v>
      </c>
      <c r="I8" s="4">
        <v>0</v>
      </c>
      <c r="J8" s="4">
        <v>0</v>
      </c>
      <c r="K8" s="4">
        <v>0</v>
      </c>
      <c r="L8" s="4">
        <v>37.439774417726902</v>
      </c>
      <c r="M8" s="4">
        <v>3.9249693664739897E-2</v>
      </c>
      <c r="N8" s="4">
        <v>1.2007338430682699</v>
      </c>
      <c r="O8" s="4">
        <v>9.7305368639304599E-2</v>
      </c>
      <c r="P8" s="4">
        <v>0.30899306231221002</v>
      </c>
      <c r="Q8" s="4">
        <v>1.22790671559733E-2</v>
      </c>
      <c r="R8" s="4">
        <v>5.3285968028419202</v>
      </c>
      <c r="S8" s="4">
        <v>0.31399057779153999</v>
      </c>
      <c r="T8" s="4">
        <v>4.7359903996231401</v>
      </c>
      <c r="U8" s="4">
        <v>0.35588059033041503</v>
      </c>
    </row>
    <row r="9" spans="1:21" x14ac:dyDescent="0.45">
      <c r="A9" s="3">
        <v>96.01</v>
      </c>
      <c r="B9" s="4">
        <v>847250</v>
      </c>
      <c r="C9" s="10">
        <v>8838.8347648318395</v>
      </c>
      <c r="D9" s="4">
        <f t="shared" si="0"/>
        <v>847250000</v>
      </c>
      <c r="E9" s="4">
        <f t="shared" si="1"/>
        <v>8838834.7648318391</v>
      </c>
      <c r="F9" s="4">
        <v>59.414999999999999</v>
      </c>
      <c r="G9" s="4">
        <v>2.8496403281817901</v>
      </c>
      <c r="H9" s="4">
        <v>0.42720000000000002</v>
      </c>
      <c r="I9" s="4">
        <v>0</v>
      </c>
      <c r="J9" s="4">
        <v>8.5440000000000002E-2</v>
      </c>
      <c r="K9" s="4">
        <v>0</v>
      </c>
      <c r="L9" s="4">
        <v>37.439774417726902</v>
      </c>
      <c r="M9" s="4">
        <v>3.9249693664739897E-2</v>
      </c>
      <c r="N9" s="4">
        <v>1.2007338430682699</v>
      </c>
      <c r="O9" s="4">
        <v>9.7305368639304599E-2</v>
      </c>
      <c r="P9" s="4">
        <v>0.30899306231221002</v>
      </c>
      <c r="Q9" s="4">
        <v>1.22790671559733E-2</v>
      </c>
      <c r="R9" s="4">
        <v>5.3285968028419202</v>
      </c>
      <c r="S9" s="4">
        <v>0.31399057779153999</v>
      </c>
      <c r="T9" s="4">
        <v>4.7359903996231401</v>
      </c>
      <c r="U9" s="4">
        <v>0.35588059033041503</v>
      </c>
    </row>
    <row r="10" spans="1:21" x14ac:dyDescent="0.45">
      <c r="A10" s="3">
        <v>120</v>
      </c>
      <c r="B10" s="4">
        <v>1482500</v>
      </c>
      <c r="C10" s="4">
        <v>38890.872965260103</v>
      </c>
      <c r="D10" s="4">
        <f t="shared" si="0"/>
        <v>1482500000</v>
      </c>
      <c r="E10" s="4">
        <f t="shared" si="1"/>
        <v>38890872.965260103</v>
      </c>
      <c r="F10" s="4">
        <v>86.32</v>
      </c>
      <c r="G10" s="4">
        <v>4.1295036021294296</v>
      </c>
      <c r="H10" s="4">
        <v>0.22239187263650001</v>
      </c>
      <c r="I10" s="10">
        <v>6.3209216117261497E-4</v>
      </c>
      <c r="J10" s="4">
        <v>4.3941653599999998E-2</v>
      </c>
      <c r="K10" s="10">
        <v>1.05971321437845E-3</v>
      </c>
      <c r="L10" s="4">
        <v>45.294078465330003</v>
      </c>
      <c r="M10" s="4">
        <v>0.78499387329486403</v>
      </c>
      <c r="N10" s="4">
        <v>0.76942859559296894</v>
      </c>
      <c r="O10" s="4">
        <v>0.192948506602002</v>
      </c>
      <c r="P10" s="4">
        <v>0.28914487767414399</v>
      </c>
      <c r="Q10" s="4">
        <v>1.7910559530437801E-2</v>
      </c>
      <c r="R10" s="4">
        <v>8.4924511545293093</v>
      </c>
      <c r="S10" s="4">
        <v>0.549483511135197</v>
      </c>
      <c r="T10" s="4">
        <v>6.3550588540008599</v>
      </c>
      <c r="U10" s="4">
        <v>0.32448983864772302</v>
      </c>
    </row>
    <row r="11" spans="1:21" x14ac:dyDescent="0.45">
      <c r="A11" s="3">
        <v>144</v>
      </c>
      <c r="B11" s="4">
        <v>2485000</v>
      </c>
      <c r="C11" s="10">
        <v>84852.813742385697</v>
      </c>
      <c r="D11" s="4">
        <f t="shared" si="0"/>
        <v>2485000000</v>
      </c>
      <c r="E11" s="4">
        <f t="shared" si="1"/>
        <v>84852813.7423857</v>
      </c>
      <c r="F11" s="4">
        <v>154.018801</v>
      </c>
      <c r="G11" s="10">
        <v>3.5407424544829502</v>
      </c>
      <c r="H11" s="4">
        <v>0.1048520767665</v>
      </c>
      <c r="I11" s="10">
        <v>7.4496781605751705E-4</v>
      </c>
      <c r="J11" s="4">
        <v>2.06581544E-2</v>
      </c>
      <c r="K11" s="10">
        <v>5.0393407259092995E-4</v>
      </c>
      <c r="L11" s="4">
        <v>41.686094273851602</v>
      </c>
      <c r="M11" s="10">
        <v>1.9624846832371601</v>
      </c>
      <c r="N11" s="4">
        <v>0.91682704624909706</v>
      </c>
      <c r="O11" s="10">
        <v>0.26961193369657299</v>
      </c>
      <c r="P11" s="4">
        <v>0.41665845827389397</v>
      </c>
      <c r="Q11" s="10">
        <v>4.5009395581112097E-2</v>
      </c>
      <c r="R11" s="4">
        <v>11.6563055062167</v>
      </c>
      <c r="S11" s="10">
        <v>0.94197173337462003</v>
      </c>
      <c r="T11" s="4">
        <v>6.1711055586552899</v>
      </c>
      <c r="U11" s="10">
        <v>0.14685634142184001</v>
      </c>
    </row>
    <row r="12" spans="1:21" x14ac:dyDescent="0.45">
      <c r="A12" s="3">
        <v>144.01</v>
      </c>
      <c r="B12" s="4">
        <v>2485000</v>
      </c>
      <c r="C12" s="10">
        <v>84852.813742385697</v>
      </c>
      <c r="D12" s="4">
        <f t="shared" si="0"/>
        <v>2485000000</v>
      </c>
      <c r="E12" s="4">
        <f t="shared" si="1"/>
        <v>84852813.7423857</v>
      </c>
      <c r="F12" s="4">
        <v>154.018801</v>
      </c>
      <c r="G12" s="10">
        <v>3.5407424544829502</v>
      </c>
      <c r="H12" s="4">
        <v>16.9278668690899</v>
      </c>
      <c r="I12" s="4">
        <v>0</v>
      </c>
      <c r="J12" s="4">
        <v>3.3852923389599998</v>
      </c>
      <c r="K12" s="4">
        <v>0</v>
      </c>
      <c r="L12" s="4">
        <v>41.686094273851602</v>
      </c>
      <c r="M12" s="10">
        <v>1.9624846832371601</v>
      </c>
      <c r="N12" s="4">
        <v>0.91682704624909706</v>
      </c>
      <c r="O12" s="10">
        <v>0.26961193369657299</v>
      </c>
      <c r="P12" s="4">
        <v>0.41665845827389397</v>
      </c>
      <c r="Q12" s="10">
        <v>4.5009395581112097E-2</v>
      </c>
      <c r="R12" s="4">
        <v>11.6563055062167</v>
      </c>
      <c r="S12" s="10">
        <v>0.94197173337462003</v>
      </c>
      <c r="T12" s="4">
        <v>6.1711055586552899</v>
      </c>
      <c r="U12" s="10">
        <v>0.14685634142184001</v>
      </c>
    </row>
    <row r="13" spans="1:21" x14ac:dyDescent="0.45">
      <c r="A13" s="3">
        <v>168</v>
      </c>
      <c r="B13" s="4">
        <v>3162500</v>
      </c>
      <c r="C13" s="4">
        <v>229809.703885628</v>
      </c>
      <c r="D13" s="4">
        <f t="shared" si="0"/>
        <v>3162500000</v>
      </c>
      <c r="E13" s="4">
        <f t="shared" si="1"/>
        <v>229809703.88562799</v>
      </c>
      <c r="F13" s="4">
        <v>226.807151</v>
      </c>
      <c r="G13" s="4">
        <v>4.4199873104815497</v>
      </c>
      <c r="H13" s="4">
        <v>12.5411892822</v>
      </c>
      <c r="I13" s="4">
        <v>1.07507624141911</v>
      </c>
      <c r="J13" s="4">
        <v>3.4115508829999999</v>
      </c>
      <c r="K13" s="4">
        <v>3.6521913361748898E-2</v>
      </c>
      <c r="L13" s="4">
        <v>50.456271231599302</v>
      </c>
      <c r="M13" s="4">
        <v>0.235498161988455</v>
      </c>
      <c r="N13" s="4">
        <v>1.3553767132158101</v>
      </c>
      <c r="O13" s="4">
        <v>0.14795747740687201</v>
      </c>
      <c r="P13" s="4">
        <v>0.56857744293860402</v>
      </c>
      <c r="Q13" s="4">
        <v>4.9807597926087702E-2</v>
      </c>
      <c r="R13" s="4">
        <v>11.822824156305501</v>
      </c>
      <c r="S13" s="4">
        <v>0.23549293334365501</v>
      </c>
      <c r="T13" s="4">
        <v>5.3279249457122804</v>
      </c>
      <c r="U13" s="4">
        <v>0.13944919174147999</v>
      </c>
    </row>
    <row r="14" spans="1:21" x14ac:dyDescent="0.45">
      <c r="A14" s="5">
        <v>192</v>
      </c>
      <c r="B14" s="4">
        <v>4230000</v>
      </c>
      <c r="C14" s="4">
        <v>304055.915910215</v>
      </c>
      <c r="D14" s="4">
        <f t="shared" si="0"/>
        <v>4230000000</v>
      </c>
      <c r="E14" s="4">
        <f t="shared" si="1"/>
        <v>304055915.91021502</v>
      </c>
      <c r="F14" s="4">
        <v>338.10782</v>
      </c>
      <c r="G14" s="4">
        <v>22.4348293950456</v>
      </c>
      <c r="H14" s="6">
        <v>13.4411152097</v>
      </c>
      <c r="I14" s="6">
        <v>2.3491750127365401</v>
      </c>
      <c r="J14" s="6">
        <v>3.4111853827999998</v>
      </c>
      <c r="K14" s="6">
        <v>1.74704057840749E-2</v>
      </c>
      <c r="L14" s="4">
        <v>48.957570105908196</v>
      </c>
      <c r="M14" s="4">
        <v>0.15699877465897</v>
      </c>
      <c r="N14" s="4">
        <v>2.0613908499466298</v>
      </c>
      <c r="O14" s="4">
        <v>1.1238291198896E-2</v>
      </c>
      <c r="P14" s="4">
        <v>0.90337410601395896</v>
      </c>
      <c r="Q14" s="4">
        <v>3.1562809495983703E-2</v>
      </c>
      <c r="R14" s="4">
        <v>12.488898756660699</v>
      </c>
      <c r="S14" s="4">
        <v>0.23549293334365301</v>
      </c>
      <c r="T14" s="4">
        <v>5.0473928998998598</v>
      </c>
      <c r="U14" s="4">
        <v>0.20120570061724799</v>
      </c>
    </row>
    <row r="15" spans="1:21" x14ac:dyDescent="0.45">
      <c r="A15" s="4">
        <v>192.01</v>
      </c>
      <c r="B15" s="4">
        <v>4230000</v>
      </c>
      <c r="C15" s="4">
        <v>304055.915910215</v>
      </c>
      <c r="D15" s="4">
        <f t="shared" si="0"/>
        <v>4230000000</v>
      </c>
      <c r="E15" s="4">
        <f t="shared" si="1"/>
        <v>304055915.91021502</v>
      </c>
      <c r="F15" s="4">
        <v>338.10782</v>
      </c>
      <c r="G15" s="4">
        <v>22.4348293950456</v>
      </c>
      <c r="H15" s="4">
        <v>15.86900368873</v>
      </c>
      <c r="I15" s="4">
        <v>0</v>
      </c>
      <c r="J15" s="4">
        <v>3.8244668445199999</v>
      </c>
      <c r="K15" s="4">
        <v>0</v>
      </c>
      <c r="L15" s="4">
        <v>48.957570105908196</v>
      </c>
      <c r="M15" s="4">
        <v>0.15699877465897</v>
      </c>
      <c r="N15" s="4">
        <v>2.0613908499466298</v>
      </c>
      <c r="O15" s="4">
        <v>1.1238291198896E-2</v>
      </c>
      <c r="P15" s="4">
        <v>0.90337410601395896</v>
      </c>
      <c r="Q15" s="4">
        <v>3.1562809495983703E-2</v>
      </c>
      <c r="R15" s="4">
        <v>12.488898756660699</v>
      </c>
      <c r="S15" s="4">
        <v>0.23549293334365301</v>
      </c>
      <c r="T15" s="4">
        <v>5.0473928998998598</v>
      </c>
      <c r="U15" s="4">
        <v>0.20120570061724799</v>
      </c>
    </row>
    <row r="16" spans="1:21" x14ac:dyDescent="0.45">
      <c r="A16" s="9">
        <v>216</v>
      </c>
      <c r="B16" s="4">
        <v>3800000</v>
      </c>
      <c r="C16" s="4">
        <v>445477.27214752499</v>
      </c>
      <c r="D16" s="4">
        <f t="shared" si="0"/>
        <v>3800000000</v>
      </c>
      <c r="E16" s="4">
        <f t="shared" si="1"/>
        <v>445477272.14752501</v>
      </c>
      <c r="F16" s="4">
        <v>420.39211999999998</v>
      </c>
      <c r="G16" s="4">
        <v>7.1288242937527997</v>
      </c>
      <c r="H16" s="6">
        <v>13.9527336146</v>
      </c>
      <c r="I16" s="6">
        <v>1.44526688159478</v>
      </c>
      <c r="J16" s="6">
        <v>3.5664632119999999</v>
      </c>
      <c r="K16" s="6">
        <v>0.147320874826284</v>
      </c>
      <c r="L16" s="4">
        <v>55.7572326206177</v>
      </c>
      <c r="M16" s="4">
        <v>0.58874540497113903</v>
      </c>
      <c r="N16" s="4">
        <v>2.1366822394464098</v>
      </c>
      <c r="O16" s="4">
        <v>2.3700728893438799E-2</v>
      </c>
      <c r="P16" s="4">
        <v>1.1060740319243001</v>
      </c>
      <c r="Q16" s="4">
        <v>8.1804063531623894E-2</v>
      </c>
      <c r="R16" s="4">
        <v>11.2677619893428</v>
      </c>
      <c r="S16" s="4">
        <v>1.17746466671828</v>
      </c>
      <c r="T16" s="4">
        <v>4.6812876209126504</v>
      </c>
      <c r="U16" s="4">
        <v>0.25067029352206799</v>
      </c>
    </row>
    <row r="17" spans="1:21" x14ac:dyDescent="0.45">
      <c r="A17" s="9">
        <v>240</v>
      </c>
      <c r="B17" s="6">
        <v>3952500</v>
      </c>
      <c r="C17" s="6">
        <v>314662.51762801397</v>
      </c>
      <c r="D17" s="4">
        <f t="shared" si="0"/>
        <v>3952500000</v>
      </c>
      <c r="E17" s="4">
        <f t="shared" si="1"/>
        <v>314662517.62801397</v>
      </c>
      <c r="F17" s="6">
        <v>495.79987999999997</v>
      </c>
      <c r="G17" s="6">
        <v>51.289452972212601</v>
      </c>
      <c r="H17" s="6">
        <v>14.4226821294</v>
      </c>
      <c r="I17" s="6">
        <v>7.4154052535054402E-2</v>
      </c>
      <c r="J17" s="6">
        <v>3.6371853621999999</v>
      </c>
      <c r="K17" s="6">
        <v>3.07439532166854E-2</v>
      </c>
      <c r="L17" s="6">
        <v>52.870845267434902</v>
      </c>
      <c r="M17" s="6">
        <v>0.353247242982694</v>
      </c>
      <c r="N17" s="6">
        <v>2.1418197002578601</v>
      </c>
      <c r="O17" s="6">
        <v>0.19548361442010001</v>
      </c>
      <c r="P17" s="6">
        <v>1.44589135861081</v>
      </c>
      <c r="Q17" s="6">
        <v>1.65799103054328E-2</v>
      </c>
      <c r="R17" s="6">
        <v>12.932948490230901</v>
      </c>
      <c r="S17" s="6">
        <v>7.8497644447885095E-2</v>
      </c>
      <c r="T17" s="6">
        <v>3.9962778316275802</v>
      </c>
      <c r="U17" s="6">
        <v>0.47865900270302197</v>
      </c>
    </row>
    <row r="18" spans="1:21" x14ac:dyDescent="0.45">
      <c r="A18" s="9">
        <v>240.01</v>
      </c>
      <c r="B18" s="6">
        <v>3952500</v>
      </c>
      <c r="C18" s="6">
        <v>314662.51762801397</v>
      </c>
      <c r="D18" s="4">
        <f t="shared" si="0"/>
        <v>3952500000</v>
      </c>
      <c r="E18" s="4">
        <f t="shared" si="1"/>
        <v>314662517.62801397</v>
      </c>
      <c r="F18" s="6">
        <v>495.79987999999997</v>
      </c>
      <c r="G18" s="6">
        <v>51.289452972212601</v>
      </c>
      <c r="H18" s="6">
        <v>14.115713916460001</v>
      </c>
      <c r="I18" s="6">
        <v>0</v>
      </c>
      <c r="J18" s="6">
        <v>3.5005268259800002</v>
      </c>
      <c r="K18" s="6">
        <v>0</v>
      </c>
      <c r="L18" s="6">
        <v>52.870845267434902</v>
      </c>
      <c r="M18" s="6">
        <v>0.353247242982694</v>
      </c>
      <c r="N18" s="6">
        <v>2.1418197002578601</v>
      </c>
      <c r="O18" s="6">
        <v>0.19548361442010001</v>
      </c>
      <c r="P18" s="6">
        <v>1.44589135861081</v>
      </c>
      <c r="Q18" s="6">
        <v>1.65799103054328E-2</v>
      </c>
      <c r="R18" s="6">
        <v>12.932948490230901</v>
      </c>
      <c r="S18" s="6">
        <v>7.8497644447885095E-2</v>
      </c>
      <c r="T18" s="6">
        <v>3.9962778316275802</v>
      </c>
      <c r="U18" s="6">
        <v>0.47865900270302197</v>
      </c>
    </row>
    <row r="19" spans="1:21" x14ac:dyDescent="0.45">
      <c r="A19" s="9">
        <v>264</v>
      </c>
      <c r="B19" s="4">
        <v>3770000</v>
      </c>
      <c r="C19" s="4">
        <v>494974.74683058303</v>
      </c>
      <c r="D19" s="4">
        <f t="shared" si="0"/>
        <v>3770000000</v>
      </c>
      <c r="E19" s="4">
        <f t="shared" si="1"/>
        <v>494974746.83058304</v>
      </c>
      <c r="F19" s="4">
        <v>434.18029999999999</v>
      </c>
      <c r="G19" s="4">
        <v>35.434450166006499</v>
      </c>
      <c r="H19" s="6">
        <v>18.007634329199998</v>
      </c>
      <c r="I19" s="6">
        <v>1.24308023566826</v>
      </c>
      <c r="J19" s="6">
        <v>3.2570438913999999</v>
      </c>
      <c r="K19" s="6">
        <v>4.4164913462711099E-2</v>
      </c>
      <c r="L19" s="4">
        <v>57.422456093607799</v>
      </c>
      <c r="M19" s="4">
        <v>2.2372325388903702</v>
      </c>
      <c r="N19" s="4">
        <v>3.4040876760640999</v>
      </c>
      <c r="O19" s="4">
        <v>0.13478073332248</v>
      </c>
      <c r="P19" s="4">
        <v>1.68489558848323</v>
      </c>
      <c r="Q19" s="4">
        <v>5.0105469402352297E-2</v>
      </c>
      <c r="R19" s="4">
        <v>11.545293072824199</v>
      </c>
      <c r="S19" s="4">
        <v>1.25596231116616</v>
      </c>
      <c r="T19" s="4">
        <v>4.78763836531372</v>
      </c>
      <c r="U19" s="4">
        <v>7.6614790654087495E-2</v>
      </c>
    </row>
    <row r="20" spans="1:21" x14ac:dyDescent="0.45">
      <c r="A20" s="7">
        <v>288</v>
      </c>
      <c r="B20" s="8">
        <v>4305000</v>
      </c>
      <c r="C20" s="8">
        <v>247487.37341529201</v>
      </c>
      <c r="D20" s="4">
        <f t="shared" si="0"/>
        <v>4305000000</v>
      </c>
      <c r="E20" s="4">
        <f t="shared" si="1"/>
        <v>247487373.41529199</v>
      </c>
      <c r="F20" s="8">
        <v>507.86926999999997</v>
      </c>
      <c r="G20" s="8">
        <v>75.067629688020901</v>
      </c>
      <c r="H20" s="8">
        <v>19.4846177505</v>
      </c>
      <c r="I20" s="8">
        <v>0.38025462101891999</v>
      </c>
      <c r="J20" s="8">
        <v>3.1280030131999998</v>
      </c>
      <c r="K20" s="8">
        <v>0.104643050765029</v>
      </c>
      <c r="L20" s="8">
        <v>56.589844357112703</v>
      </c>
      <c r="M20" s="8">
        <v>0.90274295428909301</v>
      </c>
      <c r="N20" s="8">
        <v>4.12788223803752</v>
      </c>
      <c r="O20" s="8">
        <v>7.0944018469585396E-2</v>
      </c>
      <c r="P20" s="8">
        <v>2.18044152021753</v>
      </c>
      <c r="Q20" s="8">
        <v>4.7907758903248797E-2</v>
      </c>
      <c r="R20" s="8">
        <v>12.8774422735346</v>
      </c>
      <c r="S20" s="8">
        <v>0</v>
      </c>
      <c r="T20" s="8">
        <v>5.0959758397790003</v>
      </c>
      <c r="U20" s="8">
        <v>0.50937740387696395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0F0F-D53C-4C92-BFFE-A5C5947DE90C}">
  <dimension ref="A1:R20"/>
  <sheetViews>
    <sheetView tabSelected="1" zoomScale="74" workbookViewId="0">
      <selection sqref="A1:XFD1"/>
    </sheetView>
  </sheetViews>
  <sheetFormatPr defaultRowHeight="14.25" x14ac:dyDescent="0.45"/>
  <cols>
    <col min="1" max="1" width="25" customWidth="1"/>
    <col min="2" max="15" width="20.73046875" customWidth="1"/>
  </cols>
  <sheetData>
    <row r="1" spans="1:18" x14ac:dyDescent="0.45">
      <c r="A1" s="1" t="s">
        <v>0</v>
      </c>
      <c r="B1" s="2" t="s">
        <v>15</v>
      </c>
      <c r="C1" s="2" t="s">
        <v>34</v>
      </c>
      <c r="D1" s="2" t="s">
        <v>16</v>
      </c>
      <c r="E1" s="2" t="s">
        <v>35</v>
      </c>
      <c r="F1" s="2" t="s">
        <v>17</v>
      </c>
      <c r="G1" s="2" t="s">
        <v>36</v>
      </c>
      <c r="H1" s="2" t="s">
        <v>18</v>
      </c>
      <c r="I1" s="2" t="s">
        <v>37</v>
      </c>
      <c r="J1" s="2" t="s">
        <v>19</v>
      </c>
      <c r="K1" s="2" t="s">
        <v>38</v>
      </c>
      <c r="L1" s="2" t="s">
        <v>20</v>
      </c>
      <c r="M1" s="2" t="s">
        <v>39</v>
      </c>
      <c r="N1" s="2" t="s">
        <v>24</v>
      </c>
      <c r="O1" s="2" t="s">
        <v>40</v>
      </c>
      <c r="Q1" s="12" t="s">
        <v>41</v>
      </c>
      <c r="R1" s="12" t="s">
        <v>42</v>
      </c>
    </row>
    <row r="2" spans="1:18" x14ac:dyDescent="0.45">
      <c r="A2" s="1" t="s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</row>
    <row r="3" spans="1:18" x14ac:dyDescent="0.45">
      <c r="A3" s="1"/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</row>
    <row r="4" spans="1:18" x14ac:dyDescent="0.45">
      <c r="A4" s="3">
        <v>0</v>
      </c>
      <c r="B4" s="4">
        <v>4.7239799321301401E-2</v>
      </c>
      <c r="C4" s="4">
        <v>0</v>
      </c>
      <c r="D4" s="4">
        <v>6.6917160934363007E-2</v>
      </c>
      <c r="E4" s="4">
        <v>0</v>
      </c>
      <c r="F4" s="4">
        <v>0.169115153325962</v>
      </c>
      <c r="G4" s="4">
        <v>0</v>
      </c>
      <c r="H4" s="4">
        <v>0.36840674030139298</v>
      </c>
      <c r="I4" s="4">
        <v>0</v>
      </c>
      <c r="J4" s="4">
        <v>0.59749491810172195</v>
      </c>
      <c r="K4" s="4">
        <v>0</v>
      </c>
      <c r="L4" s="4">
        <v>9.9498362140185995E-2</v>
      </c>
      <c r="M4" s="4">
        <v>0</v>
      </c>
      <c r="N4" s="4">
        <v>0.54746745259774499</v>
      </c>
      <c r="O4" s="4">
        <v>0</v>
      </c>
    </row>
    <row r="5" spans="1:18" x14ac:dyDescent="0.45">
      <c r="A5" s="3">
        <v>24</v>
      </c>
      <c r="B5" s="11"/>
      <c r="C5" s="1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8" x14ac:dyDescent="0.45">
      <c r="A6" s="3">
        <v>48</v>
      </c>
      <c r="B6" s="11"/>
      <c r="C6" s="1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8" x14ac:dyDescent="0.45">
      <c r="A7" s="3">
        <v>72</v>
      </c>
      <c r="B7" s="4">
        <v>2.9019250876613001E-2</v>
      </c>
      <c r="C7" s="4"/>
      <c r="D7" s="4">
        <v>4.8199762927581997E-2</v>
      </c>
      <c r="E7" s="10">
        <v>2.7077674105601801E-4</v>
      </c>
      <c r="F7" s="4">
        <v>0.111468971858786</v>
      </c>
      <c r="G7" s="4">
        <v>9.3879904417810307E-3</v>
      </c>
      <c r="H7" s="4">
        <v>0.25877484274521201</v>
      </c>
      <c r="I7" s="4">
        <v>1.8413372950725601E-3</v>
      </c>
      <c r="J7" s="4">
        <v>0.36741492736162101</v>
      </c>
      <c r="K7" s="4">
        <v>1.4826771644092801E-2</v>
      </c>
      <c r="L7" s="4">
        <v>7.2110160509202603E-2</v>
      </c>
      <c r="M7" s="4">
        <v>8.1996374327716892E-3</v>
      </c>
      <c r="N7" s="4">
        <v>0.61631124718332597</v>
      </c>
      <c r="O7" s="4">
        <v>5.4017523387311098E-2</v>
      </c>
    </row>
    <row r="8" spans="1:18" x14ac:dyDescent="0.45">
      <c r="A8" s="3">
        <v>96</v>
      </c>
      <c r="B8" s="4">
        <v>9.4443408095653894E-2</v>
      </c>
      <c r="C8" s="4">
        <v>1.6531515430949498E-2</v>
      </c>
      <c r="D8" s="4">
        <v>7.9661870511728197E-2</v>
      </c>
      <c r="E8" s="4">
        <v>1.0058172925051701E-2</v>
      </c>
      <c r="F8" s="4">
        <v>0.18851485742753801</v>
      </c>
      <c r="G8" s="4">
        <v>2.46895706980488E-2</v>
      </c>
      <c r="H8" s="4">
        <v>0.425196194256586</v>
      </c>
      <c r="I8" s="4">
        <v>4.6589307786647001E-2</v>
      </c>
      <c r="J8" s="4">
        <v>0.59182502802187598</v>
      </c>
      <c r="K8" s="4">
        <v>1.3384431121419001E-3</v>
      </c>
      <c r="L8" s="4">
        <v>9.7411442262881398E-2</v>
      </c>
      <c r="M8" s="4">
        <v>2.3911129009244698E-2</v>
      </c>
      <c r="N8" s="4">
        <v>1.1240742786422999</v>
      </c>
      <c r="O8" s="4">
        <v>0.15983302061930199</v>
      </c>
    </row>
    <row r="9" spans="1:18" x14ac:dyDescent="0.45">
      <c r="A9" s="3">
        <v>96.01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8" x14ac:dyDescent="0.45">
      <c r="A10" s="3">
        <v>120</v>
      </c>
      <c r="B10" s="4">
        <v>0.18236138218758699</v>
      </c>
      <c r="C10" s="4">
        <v>1.1204737536671099E-2</v>
      </c>
      <c r="D10" s="4">
        <v>0.114289707443928</v>
      </c>
      <c r="E10" s="4">
        <v>4.4969970218487899E-2</v>
      </c>
      <c r="F10" s="4">
        <v>0.31727862622222203</v>
      </c>
      <c r="G10" s="4">
        <v>7.4877332188989995E-2</v>
      </c>
      <c r="H10" s="4">
        <v>0.66021936992219599</v>
      </c>
      <c r="I10" s="4">
        <v>3.5500751434244603E-2</v>
      </c>
      <c r="J10" s="4">
        <v>0.57965334706921801</v>
      </c>
      <c r="K10" s="4">
        <v>0.13327898706865501</v>
      </c>
      <c r="L10" s="4">
        <v>7.6003472089350002E-2</v>
      </c>
      <c r="M10" s="4">
        <v>3.74665775528636E-3</v>
      </c>
      <c r="N10" s="4">
        <v>1.1442864567650699</v>
      </c>
      <c r="O10" s="4">
        <v>0.14171518387107401</v>
      </c>
    </row>
    <row r="11" spans="1:18" x14ac:dyDescent="0.45">
      <c r="A11" s="3">
        <v>144</v>
      </c>
      <c r="B11" s="4">
        <v>0.25199199451738802</v>
      </c>
      <c r="C11" s="4">
        <v>1.34882047788599E-2</v>
      </c>
      <c r="D11" s="4">
        <v>0.129724264564824</v>
      </c>
      <c r="E11" s="10">
        <v>6.7036960164354399E-4</v>
      </c>
      <c r="F11" s="4">
        <v>0.46174437414236003</v>
      </c>
      <c r="G11" s="4">
        <v>8.2594766830435696E-3</v>
      </c>
      <c r="H11" s="4">
        <v>0.79089243574627499</v>
      </c>
      <c r="I11" s="4">
        <v>2.43079684424986E-2</v>
      </c>
      <c r="J11" s="4">
        <v>0.27000906802115299</v>
      </c>
      <c r="K11" s="4">
        <v>4.8434528144862404E-3</v>
      </c>
      <c r="L11" s="4">
        <v>5.28900479206093E-2</v>
      </c>
      <c r="M11" s="4">
        <v>1.35980873998146E-2</v>
      </c>
      <c r="N11" s="4">
        <v>0.68324361406041301</v>
      </c>
      <c r="O11" s="4">
        <v>2.6904402139472299E-2</v>
      </c>
    </row>
    <row r="12" spans="1:18" x14ac:dyDescent="0.45">
      <c r="A12" s="3">
        <v>144.01</v>
      </c>
      <c r="B12" s="4"/>
      <c r="C12" s="4"/>
      <c r="D12" s="4"/>
      <c r="E12" s="10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8" x14ac:dyDescent="0.45">
      <c r="A13" s="3">
        <v>168</v>
      </c>
      <c r="B13" s="4">
        <v>0.51980204193969903</v>
      </c>
      <c r="C13" s="4"/>
      <c r="D13" s="4">
        <v>0.19281020519012201</v>
      </c>
      <c r="E13" s="4"/>
      <c r="F13" s="4">
        <v>0.56840661769743595</v>
      </c>
      <c r="G13" s="4"/>
      <c r="H13" s="4">
        <v>1.1408825240007701</v>
      </c>
      <c r="I13" s="4"/>
      <c r="J13" s="4">
        <v>0.49906268765305001</v>
      </c>
      <c r="K13" s="4"/>
      <c r="L13" s="4">
        <v>4.8263954800629401E-2</v>
      </c>
      <c r="M13" s="4"/>
      <c r="N13" s="4">
        <v>2.0005664737394202</v>
      </c>
      <c r="O13" s="4">
        <v>0.34705915153425099</v>
      </c>
    </row>
    <row r="14" spans="1:18" x14ac:dyDescent="0.45">
      <c r="A14" s="5">
        <v>192</v>
      </c>
      <c r="B14" s="4">
        <v>0.55997633294127303</v>
      </c>
      <c r="C14" s="10">
        <v>7.5551269616555804E-3</v>
      </c>
      <c r="D14" s="4">
        <v>0.25454657476040699</v>
      </c>
      <c r="E14" s="10">
        <v>1.26450109172763E-3</v>
      </c>
      <c r="F14" s="4">
        <v>0.73695941522838904</v>
      </c>
      <c r="G14" s="10">
        <v>2.5080551842808298E-2</v>
      </c>
      <c r="H14" s="4">
        <v>1.5515517548375299</v>
      </c>
      <c r="I14" s="10">
        <v>6.7284086065229802E-3</v>
      </c>
      <c r="J14" s="4">
        <v>0.53160837529887495</v>
      </c>
      <c r="K14" s="10">
        <v>1.91293467625765E-2</v>
      </c>
      <c r="L14" s="4">
        <v>3.2086393113558702E-2</v>
      </c>
      <c r="M14" s="10">
        <v>1.2756433455777099E-2</v>
      </c>
      <c r="N14" s="4">
        <v>2.02704568696669</v>
      </c>
      <c r="O14" s="10">
        <v>1.6850249968149501E-3</v>
      </c>
    </row>
    <row r="15" spans="1:18" x14ac:dyDescent="0.45">
      <c r="A15" s="4">
        <v>192.01</v>
      </c>
      <c r="B15" s="4"/>
      <c r="C15" s="10"/>
      <c r="D15" s="4"/>
      <c r="E15" s="10"/>
      <c r="F15" s="4"/>
      <c r="G15" s="10"/>
      <c r="H15" s="4"/>
      <c r="I15" s="10"/>
      <c r="J15" s="4"/>
      <c r="K15" s="10"/>
      <c r="L15" s="4"/>
      <c r="M15" s="10"/>
      <c r="N15" s="4"/>
      <c r="O15" s="10"/>
    </row>
    <row r="16" spans="1:18" x14ac:dyDescent="0.45">
      <c r="A16" s="9">
        <v>216</v>
      </c>
      <c r="B16" s="4">
        <v>0.61673702999837798</v>
      </c>
      <c r="C16" s="4">
        <v>8.4370177586388706E-2</v>
      </c>
      <c r="D16" s="4">
        <v>0.253724935082286</v>
      </c>
      <c r="E16" s="4">
        <v>3.5745158719793099E-2</v>
      </c>
      <c r="F16" s="4">
        <v>0.61493763266884305</v>
      </c>
      <c r="G16" s="4">
        <v>6.9963410074172103E-2</v>
      </c>
      <c r="H16" s="4">
        <v>1.4748839447934801</v>
      </c>
      <c r="I16" s="4">
        <v>0.17733004610565001</v>
      </c>
      <c r="J16" s="4">
        <v>0.48396530884669098</v>
      </c>
      <c r="K16" s="4">
        <v>2.6631350964194E-2</v>
      </c>
      <c r="L16" s="4">
        <v>4.2016303961914601E-2</v>
      </c>
      <c r="M16" s="4">
        <v>1.6310289426526198E-2</v>
      </c>
      <c r="N16" s="4">
        <v>2.0479706008451699</v>
      </c>
      <c r="O16" s="4">
        <v>4.7740678006427603E-2</v>
      </c>
    </row>
    <row r="17" spans="1:15" x14ac:dyDescent="0.45">
      <c r="A17" s="9">
        <v>240</v>
      </c>
      <c r="B17" s="4">
        <v>0.567829681629197</v>
      </c>
      <c r="C17" s="4">
        <v>4.7063047264007903E-2</v>
      </c>
      <c r="D17" s="4">
        <v>0.46513542674135699</v>
      </c>
      <c r="E17" s="4">
        <v>2.3247366224838601E-2</v>
      </c>
      <c r="F17" s="4">
        <v>0.55712180196741801</v>
      </c>
      <c r="G17" s="4">
        <v>8.0355511183175798E-2</v>
      </c>
      <c r="H17" s="4">
        <v>3.4073508596752302</v>
      </c>
      <c r="I17" s="4">
        <v>0.58686546393142702</v>
      </c>
      <c r="J17" s="4">
        <v>0.95362192405438095</v>
      </c>
      <c r="K17" s="4">
        <v>0.109055611383839</v>
      </c>
      <c r="L17" s="4">
        <v>5.9686957194368402E-2</v>
      </c>
      <c r="M17" s="4">
        <v>8.6575416710476406E-3</v>
      </c>
      <c r="N17" s="4">
        <v>3.0843927802373301</v>
      </c>
      <c r="O17" s="4">
        <v>0.320679092520676</v>
      </c>
    </row>
    <row r="18" spans="1:15" x14ac:dyDescent="0.45">
      <c r="A18" s="9">
        <v>240.01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45">
      <c r="A19" s="9">
        <v>264</v>
      </c>
      <c r="B19" s="4">
        <v>1.0997249340263</v>
      </c>
      <c r="C19" s="4">
        <v>6.7590630368787805E-2</v>
      </c>
      <c r="D19" s="4">
        <v>0.52299224425680602</v>
      </c>
      <c r="E19" s="4">
        <v>4.9226159963824699E-2</v>
      </c>
      <c r="F19" s="4">
        <v>0.87853798451381504</v>
      </c>
      <c r="G19" s="4">
        <v>0.16494961341295</v>
      </c>
      <c r="H19" s="4">
        <v>3.9059311478928098</v>
      </c>
      <c r="I19" s="4">
        <v>0.45467713339931398</v>
      </c>
      <c r="J19" s="4">
        <v>0.88660529264186905</v>
      </c>
      <c r="K19" s="4">
        <v>2.1381475926157901E-2</v>
      </c>
      <c r="L19" s="4">
        <v>2.65964305217548E-2</v>
      </c>
      <c r="M19" s="4">
        <v>1.7220536313139499E-2</v>
      </c>
      <c r="N19" s="4">
        <v>4.1542091495573601</v>
      </c>
      <c r="O19" s="4">
        <v>0.72853659310916996</v>
      </c>
    </row>
    <row r="20" spans="1:15" x14ac:dyDescent="0.45">
      <c r="A20" s="7">
        <v>288</v>
      </c>
      <c r="B20" s="8">
        <v>1.5348021216702601</v>
      </c>
      <c r="C20" s="8">
        <v>0.105992250162425</v>
      </c>
      <c r="D20" s="8">
        <v>0.65478362041002303</v>
      </c>
      <c r="E20" s="8">
        <v>5.9670781247471001E-2</v>
      </c>
      <c r="F20" s="8">
        <v>0.72172554232336195</v>
      </c>
      <c r="G20" s="8">
        <v>0.17382666258601101</v>
      </c>
      <c r="H20" s="8">
        <v>4.9317157382141001</v>
      </c>
      <c r="I20" s="8">
        <v>0.196629345490798</v>
      </c>
      <c r="J20" s="8">
        <v>0.72799746431452395</v>
      </c>
      <c r="K20" s="8">
        <v>0.117006819095696</v>
      </c>
      <c r="L20" s="8">
        <v>4.1764615132490898E-2</v>
      </c>
      <c r="M20" s="8">
        <v>2.9895399783150801E-2</v>
      </c>
      <c r="N20" s="8">
        <v>3.1471315251174401</v>
      </c>
      <c r="O20" s="8">
        <v>0.77669980004229999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49D4-A3D8-4534-9291-74D6B4C1CABE}">
  <dimension ref="A1:E19"/>
  <sheetViews>
    <sheetView workbookViewId="0">
      <selection activeCell="B3" sqref="B3:C3"/>
    </sheetView>
  </sheetViews>
  <sheetFormatPr defaultRowHeight="14.25" x14ac:dyDescent="0.45"/>
  <cols>
    <col min="1" max="1" width="25" customWidth="1"/>
    <col min="2" max="3" width="20.73046875" customWidth="1"/>
    <col min="5" max="5" width="17.73046875" customWidth="1"/>
  </cols>
  <sheetData>
    <row r="1" spans="1:5" x14ac:dyDescent="0.45">
      <c r="A1" s="1" t="s">
        <v>0</v>
      </c>
      <c r="B1" s="2" t="s">
        <v>12</v>
      </c>
      <c r="C1" s="2" t="s">
        <v>11</v>
      </c>
      <c r="D1" s="2" t="s">
        <v>13</v>
      </c>
      <c r="E1" s="2" t="s">
        <v>14</v>
      </c>
    </row>
    <row r="2" spans="1:5" x14ac:dyDescent="0.45">
      <c r="A2" s="1" t="s">
        <v>1</v>
      </c>
      <c r="B2" s="2" t="s">
        <v>8</v>
      </c>
      <c r="C2" s="2" t="s">
        <v>8</v>
      </c>
      <c r="D2" s="2" t="s">
        <v>8</v>
      </c>
      <c r="E2" s="2" t="s">
        <v>8</v>
      </c>
    </row>
    <row r="3" spans="1:5" x14ac:dyDescent="0.45">
      <c r="A3" s="3">
        <v>0</v>
      </c>
      <c r="B3" s="4">
        <v>0</v>
      </c>
      <c r="C3" s="4">
        <v>0</v>
      </c>
      <c r="D3" s="4">
        <v>0</v>
      </c>
      <c r="E3" s="4">
        <v>0</v>
      </c>
    </row>
    <row r="4" spans="1:5" x14ac:dyDescent="0.45">
      <c r="A4" s="3">
        <v>24</v>
      </c>
      <c r="B4" s="4">
        <v>0</v>
      </c>
      <c r="C4" s="4">
        <v>0</v>
      </c>
      <c r="D4" s="4">
        <v>0</v>
      </c>
      <c r="E4" s="4">
        <v>0</v>
      </c>
    </row>
    <row r="5" spans="1:5" x14ac:dyDescent="0.45">
      <c r="A5" s="3">
        <v>48</v>
      </c>
      <c r="B5" s="4">
        <v>0</v>
      </c>
      <c r="C5" s="4">
        <v>0</v>
      </c>
      <c r="D5" s="4">
        <v>0</v>
      </c>
      <c r="E5" s="4">
        <v>0</v>
      </c>
    </row>
    <row r="6" spans="1:5" x14ac:dyDescent="0.45">
      <c r="A6" s="3">
        <v>72</v>
      </c>
      <c r="B6" s="4">
        <v>0</v>
      </c>
      <c r="C6" s="4">
        <v>0</v>
      </c>
      <c r="D6" s="4">
        <v>0</v>
      </c>
      <c r="E6" s="4">
        <v>0</v>
      </c>
    </row>
    <row r="7" spans="1:5" x14ac:dyDescent="0.45">
      <c r="A7" s="3">
        <v>96</v>
      </c>
      <c r="B7" s="4">
        <v>0</v>
      </c>
      <c r="C7" s="4">
        <v>0</v>
      </c>
      <c r="D7" s="4">
        <v>0</v>
      </c>
      <c r="E7" s="4">
        <v>0</v>
      </c>
    </row>
    <row r="8" spans="1:5" x14ac:dyDescent="0.45">
      <c r="A8" s="3">
        <v>96.001000000000005</v>
      </c>
      <c r="B8" s="4">
        <v>0.42720000000000002</v>
      </c>
      <c r="C8" s="4">
        <v>0</v>
      </c>
      <c r="D8" s="4">
        <v>8.5440000000000002E-2</v>
      </c>
      <c r="E8" s="4">
        <v>0</v>
      </c>
    </row>
    <row r="9" spans="1:5" x14ac:dyDescent="0.45">
      <c r="A9" s="3">
        <v>120</v>
      </c>
      <c r="B9" s="4">
        <v>0.22239187263650001</v>
      </c>
      <c r="C9" s="10">
        <v>6.3209216117261497E-4</v>
      </c>
      <c r="D9" s="4">
        <v>4.3941653599999998E-2</v>
      </c>
      <c r="E9" s="10">
        <v>1.05971321437845E-3</v>
      </c>
    </row>
    <row r="10" spans="1:5" x14ac:dyDescent="0.45">
      <c r="A10" s="3">
        <v>144</v>
      </c>
      <c r="B10" s="4">
        <v>0.1048520767665</v>
      </c>
      <c r="C10" s="10">
        <v>7.4496781605751705E-4</v>
      </c>
      <c r="D10" s="4">
        <v>2.06581544E-2</v>
      </c>
      <c r="E10" s="10">
        <v>5.0393407259092995E-4</v>
      </c>
    </row>
    <row r="11" spans="1:5" x14ac:dyDescent="0.45">
      <c r="A11" s="3">
        <v>144.001</v>
      </c>
      <c r="B11" s="4">
        <v>16.9278668690899</v>
      </c>
      <c r="C11" s="4">
        <v>0</v>
      </c>
      <c r="D11" s="4">
        <v>3.3852923389599998</v>
      </c>
      <c r="E11" s="4">
        <v>0</v>
      </c>
    </row>
    <row r="12" spans="1:5" x14ac:dyDescent="0.45">
      <c r="A12" s="3">
        <v>168</v>
      </c>
      <c r="B12" s="4">
        <v>12.5411892822</v>
      </c>
      <c r="C12" s="4">
        <v>1.07507624141911</v>
      </c>
      <c r="D12" s="4">
        <v>3.4115508829999999</v>
      </c>
      <c r="E12" s="4">
        <v>3.6521913361748898E-2</v>
      </c>
    </row>
    <row r="13" spans="1:5" x14ac:dyDescent="0.45">
      <c r="A13" s="5">
        <v>192</v>
      </c>
      <c r="B13" s="6">
        <v>13.4411152097</v>
      </c>
      <c r="C13" s="6">
        <v>2.3491750127365401</v>
      </c>
      <c r="D13" s="6">
        <v>3.4111853827999998</v>
      </c>
      <c r="E13" s="6">
        <v>1.74704057840749E-2</v>
      </c>
    </row>
    <row r="14" spans="1:5" x14ac:dyDescent="0.45">
      <c r="A14" s="4">
        <v>192.001</v>
      </c>
      <c r="B14" s="4">
        <v>15.86900368873</v>
      </c>
      <c r="C14" s="4">
        <v>0</v>
      </c>
      <c r="D14" s="4">
        <v>3.8244668445199999</v>
      </c>
      <c r="E14" s="4">
        <v>0</v>
      </c>
    </row>
    <row r="15" spans="1:5" x14ac:dyDescent="0.45">
      <c r="A15" s="9">
        <v>216</v>
      </c>
      <c r="B15" s="6">
        <v>13.9527336146</v>
      </c>
      <c r="C15" s="6">
        <v>1.44526688159478</v>
      </c>
      <c r="D15" s="6">
        <v>3.5664632119999999</v>
      </c>
      <c r="E15" s="6">
        <v>0.147320874826284</v>
      </c>
    </row>
    <row r="16" spans="1:5" x14ac:dyDescent="0.45">
      <c r="A16" s="9">
        <v>240</v>
      </c>
      <c r="B16" s="6">
        <v>14.4226821294</v>
      </c>
      <c r="C16" s="6">
        <v>7.4154052535054402E-2</v>
      </c>
      <c r="D16" s="6">
        <v>3.6371853621999999</v>
      </c>
      <c r="E16" s="6">
        <v>3.07439532166854E-2</v>
      </c>
    </row>
    <row r="17" spans="1:5" x14ac:dyDescent="0.45">
      <c r="A17" s="9">
        <v>240.001</v>
      </c>
      <c r="B17" s="6">
        <v>14.115713916460001</v>
      </c>
      <c r="C17" s="6">
        <v>0</v>
      </c>
      <c r="D17" s="6">
        <v>3.5005268259800002</v>
      </c>
      <c r="E17" s="6">
        <v>0</v>
      </c>
    </row>
    <row r="18" spans="1:5" x14ac:dyDescent="0.45">
      <c r="A18" s="9">
        <v>264</v>
      </c>
      <c r="B18" s="6">
        <v>18.007634329199998</v>
      </c>
      <c r="C18" s="6">
        <v>1.24308023566826</v>
      </c>
      <c r="D18" s="6">
        <v>3.2570438913999999</v>
      </c>
      <c r="E18" s="6">
        <v>4.4164913462711099E-2</v>
      </c>
    </row>
    <row r="19" spans="1:5" x14ac:dyDescent="0.45">
      <c r="A19" s="7">
        <v>288</v>
      </c>
      <c r="B19" s="8">
        <v>19.4846177505</v>
      </c>
      <c r="C19" s="8">
        <v>0.38025462101891999</v>
      </c>
      <c r="D19" s="8">
        <v>3.1280030131999998</v>
      </c>
      <c r="E19" s="8">
        <v>0.104643050765029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Metabolites</vt:lpstr>
      <vt:lpstr>NSD</vt:lpstr>
      <vt:lpstr>GalUrd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Luxi Yu</dc:creator>
  <cp:lastModifiedBy>Yu, Luxi</cp:lastModifiedBy>
  <dcterms:created xsi:type="dcterms:W3CDTF">2015-06-05T18:17:20Z</dcterms:created>
  <dcterms:modified xsi:type="dcterms:W3CDTF">2025-04-26T21:28:21Z</dcterms:modified>
</cp:coreProperties>
</file>
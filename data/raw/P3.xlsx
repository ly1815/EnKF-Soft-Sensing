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Data/Pavlos's Work/Pavlos-chapter 5/Pavlos_Data_Excel/"/>
    </mc:Choice>
  </mc:AlternateContent>
  <xr:revisionPtr revIDLastSave="51" documentId="8_{32700794-9116-4AD4-B0C9-832C4A8A5553}" xr6:coauthVersionLast="47" xr6:coauthVersionMax="47" xr10:uidLastSave="{DE3F6DC3-31E5-439A-A9DA-F89A2F264ABC}"/>
  <bookViews>
    <workbookView xWindow="-98" yWindow="-98" windowWidth="20715" windowHeight="13155" xr2:uid="{00000000-000D-0000-FFFF-FFFF00000000}"/>
  </bookViews>
  <sheets>
    <sheet name="Metabolites" sheetId="1" r:id="rId1"/>
    <sheet name="NS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E4" i="1"/>
  <c r="D4" i="1"/>
</calcChain>
</file>

<file path=xl/sharedStrings.xml><?xml version="1.0" encoding="utf-8"?>
<sst xmlns="http://schemas.openxmlformats.org/spreadsheetml/2006/main" count="106" uniqueCount="41">
  <si>
    <t>Cell culture period</t>
  </si>
  <si>
    <t>hours</t>
  </si>
  <si>
    <t>cell·mL^(-1)</t>
  </si>
  <si>
    <t>Xv</t>
  </si>
  <si>
    <t>mg·L^(-1)</t>
  </si>
  <si>
    <t>mAb</t>
  </si>
  <si>
    <t>Xv_STDEV</t>
  </si>
  <si>
    <t>mAb_STDEV</t>
  </si>
  <si>
    <t>mM</t>
  </si>
  <si>
    <t>Amm_STDEV</t>
  </si>
  <si>
    <t>Amm</t>
  </si>
  <si>
    <t>Asn</t>
  </si>
  <si>
    <t>Asn_STDEV</t>
  </si>
  <si>
    <t>Gal_STDEV</t>
  </si>
  <si>
    <t>Glc</t>
  </si>
  <si>
    <t>Glc_STDEV</t>
  </si>
  <si>
    <t>Gln_STDEV</t>
  </si>
  <si>
    <t>Gln</t>
  </si>
  <si>
    <t>Lac</t>
  </si>
  <si>
    <t>Lac_STDEV</t>
  </si>
  <si>
    <t>Gal</t>
  </si>
  <si>
    <t>Urd</t>
  </si>
  <si>
    <t>Urd_STDEV</t>
  </si>
  <si>
    <t>UDPGal</t>
  </si>
  <si>
    <t>UDPGalNAc</t>
  </si>
  <si>
    <t>UDPGlc</t>
  </si>
  <si>
    <t>UDPGlcNAc</t>
  </si>
  <si>
    <t>GDPMan</t>
  </si>
  <si>
    <t>GDPFuc</t>
  </si>
  <si>
    <t>UDPGal_STDEV</t>
  </si>
  <si>
    <t>UDPGalNAc_STDEV</t>
  </si>
  <si>
    <t>UDPGlc_STDEV</t>
  </si>
  <si>
    <t>UDPGlcNAc_STDEV</t>
  </si>
  <si>
    <t>GDPMan_STDEV</t>
  </si>
  <si>
    <t>GDPFuc_STDEV</t>
  </si>
  <si>
    <t>cell·L^(-1)</t>
  </si>
  <si>
    <t>Xv_Ml</t>
  </si>
  <si>
    <t>Xv_mL_STDEV</t>
  </si>
  <si>
    <t>CMPNeu5Ac</t>
  </si>
  <si>
    <t>CMPNeu5Ac_STDEV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</si>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</sst>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topLeftCell="N1" zoomScale="121" workbookViewId="0">
      <selection activeCell="B1" sqref="B1"/>
    </sheetView>
  </sheetViews>
  <sheetFormatPr defaultRowHeight="14.25" x14ac:dyDescent="0.45"/>
  <cols>
    <col min="1" max="1" width="25" customWidth="1"/>
    <col min="2" max="2" width="23.73046875" customWidth="1"/>
    <col min="3" max="3" width="15.265625" customWidth="1"/>
    <col min="4" max="5" width="23.73046875" customWidth="1"/>
    <col min="6" max="6" width="11.86328125" customWidth="1"/>
    <col min="7" max="7" width="20.59765625" customWidth="1"/>
    <col min="8" max="8" width="16.265625" customWidth="1"/>
    <col min="9" max="9" width="19.59765625" customWidth="1"/>
    <col min="11" max="11" width="17.73046875" customWidth="1"/>
    <col min="13" max="13" width="11" customWidth="1"/>
    <col min="15" max="15" width="13.3984375" customWidth="1"/>
    <col min="17" max="17" width="12" customWidth="1"/>
    <col min="19" max="19" width="14.59765625" customWidth="1"/>
    <col min="21" max="21" width="17.59765625" customWidth="1"/>
  </cols>
  <sheetData>
    <row r="1" spans="1:21" x14ac:dyDescent="0.45">
      <c r="A1" s="1" t="s">
        <v>0</v>
      </c>
      <c r="B1" s="2" t="s">
        <v>36</v>
      </c>
      <c r="C1" s="2" t="s">
        <v>37</v>
      </c>
      <c r="D1" s="2" t="s">
        <v>3</v>
      </c>
      <c r="E1" s="2" t="s">
        <v>6</v>
      </c>
      <c r="F1" s="2" t="s">
        <v>5</v>
      </c>
      <c r="G1" s="2" t="s">
        <v>7</v>
      </c>
      <c r="H1" s="2" t="s">
        <v>20</v>
      </c>
      <c r="I1" s="2" t="s">
        <v>13</v>
      </c>
      <c r="J1" s="2" t="s">
        <v>21</v>
      </c>
      <c r="K1" s="2" t="s">
        <v>22</v>
      </c>
      <c r="L1" s="2" t="s">
        <v>14</v>
      </c>
      <c r="M1" s="2" t="s">
        <v>15</v>
      </c>
      <c r="N1" s="2" t="s">
        <v>10</v>
      </c>
      <c r="O1" s="2" t="s">
        <v>9</v>
      </c>
      <c r="P1" s="2" t="s">
        <v>17</v>
      </c>
      <c r="Q1" s="2" t="s">
        <v>16</v>
      </c>
      <c r="R1" s="2" t="s">
        <v>18</v>
      </c>
      <c r="S1" s="2" t="s">
        <v>19</v>
      </c>
      <c r="T1" s="2" t="s">
        <v>11</v>
      </c>
      <c r="U1" s="2" t="s">
        <v>12</v>
      </c>
    </row>
    <row r="2" spans="1:21" x14ac:dyDescent="0.45">
      <c r="A2" s="1" t="s">
        <v>1</v>
      </c>
      <c r="B2" s="2" t="s">
        <v>2</v>
      </c>
      <c r="C2" s="2" t="s">
        <v>2</v>
      </c>
      <c r="D2" s="2" t="s">
        <v>35</v>
      </c>
      <c r="E2" s="2" t="s">
        <v>35</v>
      </c>
      <c r="F2" s="2" t="s">
        <v>4</v>
      </c>
      <c r="G2" s="2" t="s">
        <v>4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 t="s">
        <v>8</v>
      </c>
      <c r="S2" s="2" t="s">
        <v>8</v>
      </c>
      <c r="T2" s="2" t="s">
        <v>8</v>
      </c>
      <c r="U2" s="2" t="s">
        <v>8</v>
      </c>
    </row>
    <row r="3" spans="1:21" x14ac:dyDescent="0.45">
      <c r="A3" s="1"/>
      <c r="B3" s="2" t="s">
        <v>40</v>
      </c>
      <c r="C3" s="2" t="s">
        <v>40</v>
      </c>
      <c r="D3" s="2" t="s">
        <v>40</v>
      </c>
      <c r="E3" s="2" t="s">
        <v>40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40</v>
      </c>
      <c r="N3" s="2" t="s">
        <v>40</v>
      </c>
      <c r="O3" s="2" t="s">
        <v>40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</row>
    <row r="4" spans="1:21" x14ac:dyDescent="0.45">
      <c r="A4" s="3">
        <v>0</v>
      </c>
      <c r="B4" s="4">
        <v>200000</v>
      </c>
      <c r="C4" s="4">
        <v>0</v>
      </c>
      <c r="D4" s="4">
        <f>B4*1000</f>
        <v>200000000</v>
      </c>
      <c r="E4" s="4">
        <f>C4*1000</f>
        <v>0</v>
      </c>
      <c r="F4" s="4">
        <v>7.0514999999999999</v>
      </c>
      <c r="G4" s="4">
        <v>1.3498668452851199</v>
      </c>
      <c r="H4" s="4">
        <v>0</v>
      </c>
      <c r="I4" s="4">
        <v>0</v>
      </c>
      <c r="J4" s="4">
        <v>0</v>
      </c>
      <c r="K4" s="4">
        <v>0</v>
      </c>
      <c r="L4" s="4">
        <v>28.3087990408313</v>
      </c>
      <c r="M4" s="4">
        <v>0</v>
      </c>
      <c r="N4" s="4">
        <v>0.1</v>
      </c>
      <c r="O4" s="4">
        <v>0</v>
      </c>
      <c r="P4">
        <v>0</v>
      </c>
      <c r="Q4">
        <v>0</v>
      </c>
      <c r="R4" s="4">
        <v>0</v>
      </c>
      <c r="S4" s="4">
        <v>0</v>
      </c>
      <c r="T4" s="4">
        <v>5.0873476999999996</v>
      </c>
      <c r="U4" s="4">
        <v>0</v>
      </c>
    </row>
    <row r="5" spans="1:21" x14ac:dyDescent="0.45">
      <c r="A5" s="3">
        <v>24</v>
      </c>
      <c r="B5" s="4">
        <v>295000</v>
      </c>
      <c r="C5" s="4">
        <v>25455.844122715702</v>
      </c>
      <c r="D5" s="4">
        <f t="shared" ref="D5:D20" si="0">B5*1000</f>
        <v>295000000</v>
      </c>
      <c r="E5" s="4">
        <f t="shared" ref="E5:E20" si="1">C5*1000</f>
        <v>25455844.1227157</v>
      </c>
      <c r="F5" s="4">
        <v>9.7865000000000002</v>
      </c>
      <c r="G5" s="4">
        <v>0.21283914113715099</v>
      </c>
      <c r="H5" s="4">
        <v>0</v>
      </c>
      <c r="I5" s="4">
        <v>0</v>
      </c>
      <c r="J5" s="4">
        <v>0</v>
      </c>
      <c r="K5" s="4">
        <v>0</v>
      </c>
      <c r="L5" s="4">
        <v>27.337418681587099</v>
      </c>
      <c r="M5" s="4">
        <v>3.92496936647449E-2</v>
      </c>
      <c r="N5" s="4">
        <v>0.26900274219884501</v>
      </c>
      <c r="O5" s="4">
        <v>1.70204354581459E-2</v>
      </c>
      <c r="P5">
        <v>4.52735175806004E-2</v>
      </c>
      <c r="Q5">
        <v>2.5676751670319301E-3</v>
      </c>
      <c r="R5" s="4">
        <v>0</v>
      </c>
      <c r="S5" s="4">
        <v>0</v>
      </c>
      <c r="T5" s="4">
        <v>5.7911008256592202</v>
      </c>
      <c r="U5" s="4">
        <v>0.73044530126225005</v>
      </c>
    </row>
    <row r="6" spans="1:21" x14ac:dyDescent="0.45">
      <c r="A6" s="3">
        <v>48</v>
      </c>
      <c r="B6" s="4">
        <v>415250</v>
      </c>
      <c r="C6" s="4">
        <v>52679.455198397802</v>
      </c>
      <c r="D6" s="4">
        <f t="shared" si="0"/>
        <v>415250000</v>
      </c>
      <c r="E6" s="4">
        <f t="shared" si="1"/>
        <v>52679455.1983978</v>
      </c>
      <c r="F6" s="4">
        <v>21.754999999999999</v>
      </c>
      <c r="G6" s="4">
        <v>2.62336615820209</v>
      </c>
      <c r="H6" s="4">
        <v>0</v>
      </c>
      <c r="I6" s="4">
        <v>0</v>
      </c>
      <c r="J6" s="4">
        <v>0</v>
      </c>
      <c r="K6" s="4">
        <v>0</v>
      </c>
      <c r="L6" s="4">
        <v>27.170896334288098</v>
      </c>
      <c r="M6" s="4">
        <v>0.90274295428909102</v>
      </c>
      <c r="N6" s="4">
        <v>0.644854335899405</v>
      </c>
      <c r="O6" s="4">
        <v>4.6990685423597599E-2</v>
      </c>
      <c r="P6">
        <v>0.14137412784019299</v>
      </c>
      <c r="Q6">
        <v>6.4502506140891097E-3</v>
      </c>
      <c r="R6" s="4">
        <v>0.99911190053286003</v>
      </c>
      <c r="S6" s="4">
        <v>1.4129576000619299</v>
      </c>
      <c r="T6" s="4">
        <v>5.9466322831891203</v>
      </c>
      <c r="U6" s="4">
        <v>0.42063324123620899</v>
      </c>
    </row>
    <row r="7" spans="1:21" x14ac:dyDescent="0.45">
      <c r="A7" s="3">
        <v>72</v>
      </c>
      <c r="B7" s="4">
        <v>659250</v>
      </c>
      <c r="C7" s="4">
        <v>110662.211255695</v>
      </c>
      <c r="D7" s="4">
        <f t="shared" si="0"/>
        <v>659250000</v>
      </c>
      <c r="E7" s="4">
        <f t="shared" si="1"/>
        <v>110662211.255695</v>
      </c>
      <c r="F7" s="4">
        <v>28.98</v>
      </c>
      <c r="G7" s="4">
        <v>3.7759502115361601</v>
      </c>
      <c r="H7" s="4">
        <v>0</v>
      </c>
      <c r="I7" s="4">
        <v>0</v>
      </c>
      <c r="J7" s="4">
        <v>0</v>
      </c>
      <c r="K7" s="4">
        <v>0</v>
      </c>
      <c r="L7" s="4">
        <v>38.078110082373101</v>
      </c>
      <c r="M7" s="4">
        <v>2.8259779438615098</v>
      </c>
      <c r="N7" s="4">
        <v>0.88439478247342296</v>
      </c>
      <c r="O7" s="4">
        <v>0.10181064503119799</v>
      </c>
      <c r="P7">
        <v>0.20875214279844501</v>
      </c>
      <c r="Q7">
        <v>1.51318968078021E-2</v>
      </c>
      <c r="R7" s="4">
        <v>2.9418294849023101</v>
      </c>
      <c r="S7" s="4">
        <v>0.39248822223942498</v>
      </c>
      <c r="T7" s="4">
        <v>4.9726438095607604</v>
      </c>
      <c r="U7" s="4">
        <v>9.8887402624656201E-2</v>
      </c>
    </row>
    <row r="8" spans="1:21" x14ac:dyDescent="0.45">
      <c r="A8" s="3">
        <v>96</v>
      </c>
      <c r="B8" s="4">
        <v>1020750</v>
      </c>
      <c r="C8" s="4">
        <v>13081.475451951101</v>
      </c>
      <c r="D8" s="4">
        <f t="shared" si="0"/>
        <v>1020750000</v>
      </c>
      <c r="E8" s="4">
        <f t="shared" si="1"/>
        <v>13081475.451951101</v>
      </c>
      <c r="F8" s="4">
        <v>59.414999999999999</v>
      </c>
      <c r="G8" s="4">
        <v>2.8496403281817901</v>
      </c>
      <c r="H8" s="4">
        <v>0</v>
      </c>
      <c r="I8" s="4">
        <v>0</v>
      </c>
      <c r="J8" s="4">
        <v>0</v>
      </c>
      <c r="K8" s="4">
        <v>0</v>
      </c>
      <c r="L8" s="4">
        <v>36.8291924776305</v>
      </c>
      <c r="M8" s="4">
        <v>0.43174663031217902</v>
      </c>
      <c r="N8" s="4">
        <v>1.21757563706576</v>
      </c>
      <c r="O8" s="4">
        <v>9.94747380674052E-3</v>
      </c>
      <c r="P8">
        <v>0.29895947815894203</v>
      </c>
      <c r="Q8">
        <v>1.0309417572782E-2</v>
      </c>
      <c r="R8" s="4">
        <v>5.77264653641208</v>
      </c>
      <c r="S8" s="4">
        <v>0.47098586668731002</v>
      </c>
      <c r="T8" s="4">
        <v>5.0808969850479997</v>
      </c>
      <c r="U8" s="4">
        <v>0.45052897708369799</v>
      </c>
    </row>
    <row r="9" spans="1:21" x14ac:dyDescent="0.45">
      <c r="A9" s="3">
        <v>96.01</v>
      </c>
      <c r="B9" s="4">
        <v>1020750</v>
      </c>
      <c r="C9" s="4">
        <v>13081.475451951101</v>
      </c>
      <c r="D9" s="4">
        <f t="shared" si="0"/>
        <v>1020750000</v>
      </c>
      <c r="E9" s="4">
        <f t="shared" si="1"/>
        <v>13081475.451951101</v>
      </c>
      <c r="F9" s="4">
        <v>59.414999999999999</v>
      </c>
      <c r="G9" s="4">
        <v>2.8496403281817901</v>
      </c>
      <c r="H9" s="4">
        <v>0.51880000000000004</v>
      </c>
      <c r="I9" s="4">
        <v>0</v>
      </c>
      <c r="J9" s="4">
        <v>0.10376000000000001</v>
      </c>
      <c r="K9" s="4">
        <v>0</v>
      </c>
      <c r="L9" s="4">
        <v>36.8291924776305</v>
      </c>
      <c r="M9" s="4">
        <v>0.43174663031217902</v>
      </c>
      <c r="N9" s="4">
        <v>1.21757563706576</v>
      </c>
      <c r="O9" s="4">
        <v>9.94747380674052E-3</v>
      </c>
      <c r="P9">
        <v>0.29895947815894203</v>
      </c>
      <c r="Q9">
        <v>1.0309417572782E-2</v>
      </c>
      <c r="R9" s="4">
        <v>5.77264653641208</v>
      </c>
      <c r="S9" s="4">
        <v>0.47098586668731002</v>
      </c>
      <c r="T9" s="4">
        <v>5.0808969850479997</v>
      </c>
      <c r="U9" s="4">
        <v>0.45052897708369799</v>
      </c>
    </row>
    <row r="10" spans="1:21" x14ac:dyDescent="0.45">
      <c r="A10" s="3">
        <v>120</v>
      </c>
      <c r="B10" s="4">
        <v>1447500</v>
      </c>
      <c r="C10" s="4">
        <v>67175.144212722007</v>
      </c>
      <c r="D10" s="4">
        <f t="shared" si="0"/>
        <v>1447500000</v>
      </c>
      <c r="E10" s="4">
        <f t="shared" si="1"/>
        <v>67175144.212722003</v>
      </c>
      <c r="F10" s="4">
        <v>89.78</v>
      </c>
      <c r="G10" s="4">
        <v>4.9780317395532903</v>
      </c>
      <c r="H10" s="4">
        <v>0.35509014592600002</v>
      </c>
      <c r="I10" s="10">
        <v>6.2048503037090601E-3</v>
      </c>
      <c r="J10" s="4">
        <v>6.7514277999999997E-2</v>
      </c>
      <c r="K10" s="10">
        <v>4.3031407433176801E-4</v>
      </c>
      <c r="L10" s="4">
        <v>45.238571016230402</v>
      </c>
      <c r="M10" s="4">
        <v>1.1774908099423</v>
      </c>
      <c r="N10" s="4">
        <v>0.786956874905828</v>
      </c>
      <c r="O10" s="4">
        <v>0.10062152572419</v>
      </c>
      <c r="P10">
        <v>0.31268400539853902</v>
      </c>
      <c r="Q10">
        <v>1.3193563038259399E-2</v>
      </c>
      <c r="R10" s="4">
        <v>8.7699822380106607</v>
      </c>
      <c r="S10" s="4">
        <v>0.156995288895771</v>
      </c>
      <c r="T10" s="4">
        <v>6.7747649957342304</v>
      </c>
      <c r="U10" s="4">
        <v>0.115028142860146</v>
      </c>
    </row>
    <row r="11" spans="1:21" x14ac:dyDescent="0.45">
      <c r="A11" s="3">
        <v>144</v>
      </c>
      <c r="B11" s="4">
        <v>2735000</v>
      </c>
      <c r="C11" s="10">
        <v>254558.44122715699</v>
      </c>
      <c r="D11" s="4">
        <f t="shared" si="0"/>
        <v>2735000000</v>
      </c>
      <c r="E11" s="4">
        <f t="shared" si="1"/>
        <v>254558441.227157</v>
      </c>
      <c r="F11" s="4">
        <v>156.11182700000001</v>
      </c>
      <c r="G11" s="10">
        <v>8.9736277021023003</v>
      </c>
      <c r="H11" s="4">
        <v>0.29253714427450001</v>
      </c>
      <c r="I11" s="4">
        <v>1.4839199885613601E-2</v>
      </c>
      <c r="J11" s="4">
        <v>4.0829219600000001E-2</v>
      </c>
      <c r="K11" s="4">
        <v>2.20203290567683E-3</v>
      </c>
      <c r="L11" s="4">
        <v>39.937609627211998</v>
      </c>
      <c r="M11" s="10">
        <v>1.21674050360704</v>
      </c>
      <c r="N11" s="4">
        <v>0.98991110206847399</v>
      </c>
      <c r="O11" s="10">
        <v>2.7116781434385801E-2</v>
      </c>
      <c r="P11">
        <v>0.43812157449368999</v>
      </c>
      <c r="Q11">
        <v>3.2089365508415499E-2</v>
      </c>
      <c r="R11" s="4">
        <v>11.600799289520401</v>
      </c>
      <c r="S11" s="10">
        <v>0.70647880003096497</v>
      </c>
      <c r="T11" s="4">
        <v>6.02180238103211</v>
      </c>
      <c r="U11" s="10">
        <v>4.9102170771982298E-2</v>
      </c>
    </row>
    <row r="12" spans="1:21" x14ac:dyDescent="0.45">
      <c r="A12" s="3">
        <v>144.01</v>
      </c>
      <c r="B12" s="4">
        <v>2735000</v>
      </c>
      <c r="C12" s="10">
        <v>254558.44122715699</v>
      </c>
      <c r="D12" s="4">
        <f t="shared" si="0"/>
        <v>2735000000</v>
      </c>
      <c r="E12" s="4">
        <f t="shared" si="1"/>
        <v>254558441.227157</v>
      </c>
      <c r="F12" s="4">
        <v>156.11182700000001</v>
      </c>
      <c r="G12" s="10">
        <v>8.9736277021023003</v>
      </c>
      <c r="H12" s="4">
        <v>0.57458342984705002</v>
      </c>
      <c r="I12" s="4">
        <v>0</v>
      </c>
      <c r="J12" s="4">
        <v>9.9006297640000004E-2</v>
      </c>
      <c r="K12" s="4">
        <v>0</v>
      </c>
      <c r="L12" s="4">
        <v>39.937609627211998</v>
      </c>
      <c r="M12" s="10">
        <v>1.21674050360704</v>
      </c>
      <c r="N12" s="4">
        <v>0.98991110206847399</v>
      </c>
      <c r="O12" s="10">
        <v>2.7116781434385801E-2</v>
      </c>
      <c r="P12">
        <v>0.43812157449368999</v>
      </c>
      <c r="Q12">
        <v>3.2089365508415499E-2</v>
      </c>
      <c r="R12" s="4">
        <v>11.600799289520401</v>
      </c>
      <c r="S12" s="10">
        <v>0.70647880003096497</v>
      </c>
      <c r="T12" s="4">
        <v>6.02180238103211</v>
      </c>
      <c r="U12" s="10">
        <v>4.9102170771982298E-2</v>
      </c>
    </row>
    <row r="13" spans="1:21" x14ac:dyDescent="0.45">
      <c r="A13" s="3">
        <v>168</v>
      </c>
      <c r="B13" s="4">
        <v>3547500</v>
      </c>
      <c r="C13" s="4">
        <v>350017.856687341</v>
      </c>
      <c r="D13" s="4">
        <f t="shared" si="0"/>
        <v>3547500000</v>
      </c>
      <c r="E13" s="4">
        <f t="shared" si="1"/>
        <v>350017856.68734097</v>
      </c>
      <c r="F13" s="4">
        <v>233.58103700000001</v>
      </c>
      <c r="G13" s="4">
        <v>6.3433290690174697</v>
      </c>
      <c r="H13" s="4">
        <v>0.35236918233999998</v>
      </c>
      <c r="I13" s="10">
        <v>3.9175239068586098E-4</v>
      </c>
      <c r="J13" s="4">
        <v>4.0961928799999998E-2</v>
      </c>
      <c r="K13" s="10">
        <v>2.6855745843837502E-3</v>
      </c>
      <c r="L13" s="4">
        <v>46.626257243722101</v>
      </c>
      <c r="M13" s="4">
        <v>0.15699877465897</v>
      </c>
      <c r="N13" s="4">
        <v>1.35185364255512</v>
      </c>
      <c r="O13" s="4">
        <v>0.18081727736196701</v>
      </c>
      <c r="P13">
        <v>0.60857955911061601</v>
      </c>
      <c r="Q13">
        <v>9.1372696381659003E-3</v>
      </c>
      <c r="R13" s="4">
        <v>12.5999111900533</v>
      </c>
      <c r="S13" s="4">
        <v>7.8497644447885095E-2</v>
      </c>
      <c r="T13" s="4">
        <v>5.4941451068545897</v>
      </c>
      <c r="U13" s="4">
        <v>0.23563213880391401</v>
      </c>
    </row>
    <row r="14" spans="1:21" x14ac:dyDescent="0.45">
      <c r="A14" s="5">
        <v>192</v>
      </c>
      <c r="B14" s="4">
        <v>3910000</v>
      </c>
      <c r="C14" s="4">
        <v>127279.220613579</v>
      </c>
      <c r="D14" s="4">
        <f t="shared" si="0"/>
        <v>3910000000</v>
      </c>
      <c r="E14" s="4">
        <f t="shared" si="1"/>
        <v>127279220.61357901</v>
      </c>
      <c r="F14" s="4">
        <v>348.48602</v>
      </c>
      <c r="G14" s="4">
        <v>23.692857211590201</v>
      </c>
      <c r="H14" s="6">
        <v>0.265651488499</v>
      </c>
      <c r="I14" s="6">
        <v>9.3451817827450104E-3</v>
      </c>
      <c r="J14" s="6">
        <v>2.0945690999999999E-2</v>
      </c>
      <c r="K14" s="6">
        <v>5.5310047987903602E-3</v>
      </c>
      <c r="L14" s="4">
        <v>45.876906680876601</v>
      </c>
      <c r="M14" s="4">
        <v>1.45223866559549</v>
      </c>
      <c r="N14" s="4">
        <v>1.72509759217954</v>
      </c>
      <c r="O14" s="4">
        <v>7.6055464007641098E-3</v>
      </c>
      <c r="P14">
        <v>1.02257636466099</v>
      </c>
      <c r="Q14">
        <v>4.0103401626294E-2</v>
      </c>
      <c r="R14" s="4">
        <v>14.0985790408526</v>
      </c>
      <c r="S14" s="4">
        <v>0.31399057779153999</v>
      </c>
      <c r="T14" s="4">
        <v>5.45160182408108</v>
      </c>
      <c r="U14" s="4">
        <v>0.163006282026114</v>
      </c>
    </row>
    <row r="15" spans="1:21" x14ac:dyDescent="0.45">
      <c r="A15" s="4">
        <v>192.01</v>
      </c>
      <c r="B15" s="4">
        <v>3910000</v>
      </c>
      <c r="C15" s="4">
        <v>127279.220613579</v>
      </c>
      <c r="D15" s="4">
        <f t="shared" si="0"/>
        <v>3910000000</v>
      </c>
      <c r="E15" s="4">
        <f t="shared" si="1"/>
        <v>127279220.61357901</v>
      </c>
      <c r="F15" s="4">
        <v>348.48602</v>
      </c>
      <c r="G15" s="4">
        <v>23.692857211590201</v>
      </c>
      <c r="H15" s="4">
        <v>23.768186339649102</v>
      </c>
      <c r="I15" s="4">
        <v>0</v>
      </c>
      <c r="J15" s="4">
        <v>4.7246711219000002</v>
      </c>
      <c r="K15" s="4">
        <v>0</v>
      </c>
      <c r="L15" s="4">
        <v>45.876906680876601</v>
      </c>
      <c r="M15" s="4">
        <v>1.45223866559549</v>
      </c>
      <c r="N15" s="4">
        <v>1.72509759217954</v>
      </c>
      <c r="O15" s="4">
        <v>7.6055464007641098E-3</v>
      </c>
      <c r="P15">
        <v>1.02257636466099</v>
      </c>
      <c r="Q15">
        <v>4.0103401626294E-2</v>
      </c>
      <c r="R15" s="4">
        <v>14.0985790408526</v>
      </c>
      <c r="S15" s="4">
        <v>0.31399057779153999</v>
      </c>
      <c r="T15" s="4">
        <v>5.45160182408108</v>
      </c>
      <c r="U15" s="4">
        <v>0.163006282026114</v>
      </c>
    </row>
    <row r="16" spans="1:21" x14ac:dyDescent="0.45">
      <c r="A16" s="9">
        <v>216</v>
      </c>
      <c r="B16" s="4">
        <v>3800000</v>
      </c>
      <c r="C16" s="4">
        <v>445477.27214752499</v>
      </c>
      <c r="D16" s="4">
        <f t="shared" si="0"/>
        <v>3800000000</v>
      </c>
      <c r="E16" s="4">
        <f t="shared" si="1"/>
        <v>445477272.14752501</v>
      </c>
      <c r="F16" s="4">
        <v>399.63571999999999</v>
      </c>
      <c r="G16" s="4">
        <v>8.8061947158122802</v>
      </c>
      <c r="H16" s="6">
        <v>23.435099592899999</v>
      </c>
      <c r="I16" s="6">
        <v>1.3212393465273899</v>
      </c>
      <c r="J16" s="6">
        <v>4.6001761078000003</v>
      </c>
      <c r="K16" s="6">
        <v>3.9649380752581403E-3</v>
      </c>
      <c r="L16" s="4">
        <v>56.839627878061201</v>
      </c>
      <c r="M16" s="4">
        <v>1.3344895846012601</v>
      </c>
      <c r="N16" s="4">
        <v>2.2968160891921299</v>
      </c>
      <c r="O16" s="4">
        <v>5.14492886003622E-2</v>
      </c>
      <c r="P16">
        <v>1.11394955208774</v>
      </c>
      <c r="Q16">
        <v>7.0251027507499897E-2</v>
      </c>
      <c r="R16" s="4">
        <v>11.9893428063943</v>
      </c>
      <c r="S16" s="4">
        <v>0.31399057779153899</v>
      </c>
      <c r="T16" s="4">
        <v>4.8219009168217903</v>
      </c>
      <c r="U16" s="4">
        <v>0.106718707867185</v>
      </c>
    </row>
    <row r="17" spans="1:21" x14ac:dyDescent="0.45">
      <c r="A17" s="9">
        <v>240</v>
      </c>
      <c r="B17" s="6">
        <v>4637500</v>
      </c>
      <c r="C17" s="6">
        <v>357088.92449920601</v>
      </c>
      <c r="D17" s="4">
        <f t="shared" si="0"/>
        <v>4637500000</v>
      </c>
      <c r="E17" s="4">
        <f t="shared" si="1"/>
        <v>357088924.49920601</v>
      </c>
      <c r="F17" s="6">
        <v>453.45409999999998</v>
      </c>
      <c r="G17" s="6">
        <v>5.2417825689359603</v>
      </c>
      <c r="H17" s="6">
        <v>22.981302651899998</v>
      </c>
      <c r="I17" s="6">
        <v>0.13699041852979299</v>
      </c>
      <c r="J17" s="6">
        <v>4.6041509072000002</v>
      </c>
      <c r="K17" s="6">
        <v>5.7739507930455701E-2</v>
      </c>
      <c r="L17" s="6">
        <v>53.037367614733903</v>
      </c>
      <c r="M17" s="6">
        <v>0.98124234161857804</v>
      </c>
      <c r="N17" s="6">
        <v>2.4920453631230099</v>
      </c>
      <c r="O17" s="6">
        <v>0.29319500531799397</v>
      </c>
      <c r="P17">
        <v>1.4215138015054201</v>
      </c>
      <c r="Q17">
        <v>0.205042416823736</v>
      </c>
      <c r="R17" s="6">
        <v>12.322380106571901</v>
      </c>
      <c r="S17" s="6">
        <v>0.156995288895771</v>
      </c>
      <c r="T17" s="6">
        <v>3.7682174349084301</v>
      </c>
      <c r="U17" s="6">
        <v>0.23708137265529999</v>
      </c>
    </row>
    <row r="18" spans="1:21" x14ac:dyDescent="0.45">
      <c r="A18" s="9">
        <v>240.01</v>
      </c>
      <c r="B18" s="6">
        <v>4637500</v>
      </c>
      <c r="C18" s="6">
        <v>357088.92449920601</v>
      </c>
      <c r="D18" s="4">
        <f t="shared" si="0"/>
        <v>4637500000</v>
      </c>
      <c r="E18" s="4">
        <f t="shared" si="1"/>
        <v>357088924.49920601</v>
      </c>
      <c r="F18" s="6">
        <v>453.45409999999998</v>
      </c>
      <c r="G18" s="6">
        <v>5.2417825689359603</v>
      </c>
      <c r="H18" s="6">
        <v>45.677072386710002</v>
      </c>
      <c r="I18" s="6">
        <v>0</v>
      </c>
      <c r="J18" s="6">
        <v>9.1425158164799996</v>
      </c>
      <c r="K18" s="6">
        <v>0</v>
      </c>
      <c r="L18" s="6">
        <v>53.037367614733903</v>
      </c>
      <c r="M18" s="6">
        <v>0.98124234161857804</v>
      </c>
      <c r="N18" s="6">
        <v>2.4920453631230099</v>
      </c>
      <c r="O18" s="6">
        <v>0.29319500531799397</v>
      </c>
      <c r="P18">
        <v>1.4215138015054201</v>
      </c>
      <c r="Q18">
        <v>0.205042416823736</v>
      </c>
      <c r="R18" s="6">
        <v>12.322380106571901</v>
      </c>
      <c r="S18" s="6">
        <v>0.156995288895771</v>
      </c>
      <c r="T18" s="6">
        <v>3.7682174349084301</v>
      </c>
      <c r="U18" s="6">
        <v>0.23708137265529999</v>
      </c>
    </row>
    <row r="19" spans="1:21" x14ac:dyDescent="0.45">
      <c r="A19" s="9">
        <v>264</v>
      </c>
      <c r="B19" s="4">
        <v>3877500</v>
      </c>
      <c r="C19" s="4">
        <v>159099.02576697301</v>
      </c>
      <c r="D19" s="4">
        <f t="shared" si="0"/>
        <v>3877500000</v>
      </c>
      <c r="E19" s="4">
        <f t="shared" si="1"/>
        <v>159099025.76697302</v>
      </c>
      <c r="F19" s="4">
        <v>447.96848</v>
      </c>
      <c r="G19" s="4">
        <v>28.515297175011199</v>
      </c>
      <c r="H19" s="6">
        <v>43.972282715399999</v>
      </c>
      <c r="I19" s="6">
        <v>3.2909126866173999</v>
      </c>
      <c r="J19" s="6">
        <v>8.8100569023999995</v>
      </c>
      <c r="K19" s="6">
        <v>0.31534728775450999</v>
      </c>
      <c r="L19" s="4">
        <v>64.055596261018195</v>
      </c>
      <c r="M19" s="4">
        <v>1.64848713391921</v>
      </c>
      <c r="N19" s="4">
        <v>3.45111928902744</v>
      </c>
      <c r="O19" s="4">
        <v>0.24981727129360901</v>
      </c>
      <c r="P19">
        <v>1.7000124558712899</v>
      </c>
      <c r="Q19">
        <v>0.13086136660229</v>
      </c>
      <c r="R19" s="4">
        <v>10.268650088809901</v>
      </c>
      <c r="S19" s="4">
        <v>0.39248822223942398</v>
      </c>
      <c r="T19" s="4">
        <v>4.7732631827117897</v>
      </c>
      <c r="U19" s="4">
        <v>0.18740162680980099</v>
      </c>
    </row>
    <row r="20" spans="1:21" x14ac:dyDescent="0.45">
      <c r="A20" s="7">
        <v>288</v>
      </c>
      <c r="B20" s="8">
        <v>4207500</v>
      </c>
      <c r="C20" s="8">
        <v>618718.43353822897</v>
      </c>
      <c r="D20" s="4">
        <f t="shared" si="0"/>
        <v>4207500000</v>
      </c>
      <c r="E20" s="4">
        <f t="shared" si="1"/>
        <v>618718433.53822899</v>
      </c>
      <c r="F20" s="8">
        <v>493.40805499999999</v>
      </c>
      <c r="G20" s="8">
        <v>54.197040701112698</v>
      </c>
      <c r="H20" s="8">
        <v>45.419104774200001</v>
      </c>
      <c r="I20" s="8">
        <v>0.20644777745595899</v>
      </c>
      <c r="J20" s="8">
        <v>8.1625375546000001</v>
      </c>
      <c r="K20" s="8">
        <v>7.7026737756076602E-2</v>
      </c>
      <c r="L20" s="8">
        <v>60.336597171340401</v>
      </c>
      <c r="M20" s="8">
        <v>0.86349326062434895</v>
      </c>
      <c r="N20" s="8">
        <v>3.6242481058922098</v>
      </c>
      <c r="O20" s="8">
        <v>0.191786169520413</v>
      </c>
      <c r="P20">
        <v>1.9289328262311101</v>
      </c>
      <c r="Q20">
        <v>0.24789658017361299</v>
      </c>
      <c r="R20" s="8">
        <v>9.9911190053285992</v>
      </c>
      <c r="S20" s="8">
        <v>0.15699528889577</v>
      </c>
      <c r="T20" s="8">
        <v>4.4559246264520098</v>
      </c>
      <c r="U20" s="8">
        <v>1.94795899259129E-2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0F0F-D53C-4C92-BFFE-A5C5947DE90C}">
  <dimension ref="A1:O20"/>
  <sheetViews>
    <sheetView zoomScale="84" workbookViewId="0">
      <selection activeCell="R12" sqref="R12"/>
    </sheetView>
  </sheetViews>
  <sheetFormatPr defaultRowHeight="14.25" x14ac:dyDescent="0.45"/>
  <cols>
    <col min="1" max="1" width="25" customWidth="1"/>
    <col min="2" max="2" width="15.265625" customWidth="1"/>
    <col min="3" max="3" width="15.59765625" customWidth="1"/>
    <col min="4" max="15" width="20.73046875" customWidth="1"/>
  </cols>
  <sheetData>
    <row r="1" spans="1:15" x14ac:dyDescent="0.45">
      <c r="A1" s="1" t="s">
        <v>0</v>
      </c>
      <c r="B1" s="2" t="s">
        <v>23</v>
      </c>
      <c r="C1" s="2" t="s">
        <v>29</v>
      </c>
      <c r="D1" s="2" t="s">
        <v>24</v>
      </c>
      <c r="E1" s="2" t="s">
        <v>30</v>
      </c>
      <c r="F1" s="2" t="s">
        <v>25</v>
      </c>
      <c r="G1" s="2" t="s">
        <v>31</v>
      </c>
      <c r="H1" s="2" t="s">
        <v>26</v>
      </c>
      <c r="I1" s="2" t="s">
        <v>32</v>
      </c>
      <c r="J1" s="2" t="s">
        <v>27</v>
      </c>
      <c r="K1" s="2" t="s">
        <v>33</v>
      </c>
      <c r="L1" s="2" t="s">
        <v>28</v>
      </c>
      <c r="M1" s="2" t="s">
        <v>34</v>
      </c>
      <c r="N1" s="2" t="s">
        <v>38</v>
      </c>
      <c r="O1" s="2" t="s">
        <v>39</v>
      </c>
    </row>
    <row r="2" spans="1:15" x14ac:dyDescent="0.45">
      <c r="A2" s="1" t="s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spans="1:15" x14ac:dyDescent="0.45">
      <c r="A3" s="1"/>
      <c r="B3" s="2" t="s">
        <v>40</v>
      </c>
      <c r="C3" s="2" t="s">
        <v>40</v>
      </c>
      <c r="D3" s="2" t="s">
        <v>40</v>
      </c>
      <c r="E3" s="2" t="s">
        <v>40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40</v>
      </c>
      <c r="N3" s="2" t="s">
        <v>40</v>
      </c>
      <c r="O3" s="2" t="s">
        <v>40</v>
      </c>
    </row>
    <row r="4" spans="1:15" x14ac:dyDescent="0.45">
      <c r="A4" s="3">
        <v>0</v>
      </c>
      <c r="B4" s="4">
        <v>4.7239799321301401E-2</v>
      </c>
      <c r="C4" s="4">
        <v>0</v>
      </c>
      <c r="D4" s="4">
        <v>6.6917160934363007E-2</v>
      </c>
      <c r="E4" s="4">
        <v>0</v>
      </c>
      <c r="F4" s="4">
        <v>0.169115153325962</v>
      </c>
      <c r="G4" s="4">
        <v>0</v>
      </c>
      <c r="H4" s="4">
        <v>0.36840674030139298</v>
      </c>
      <c r="I4" s="4">
        <v>0</v>
      </c>
      <c r="J4" s="4">
        <v>0.59749491810172195</v>
      </c>
      <c r="K4" s="4">
        <v>0</v>
      </c>
      <c r="L4" s="4">
        <v>9.9498362140185995E-2</v>
      </c>
      <c r="M4" s="4">
        <v>0</v>
      </c>
      <c r="N4" s="4">
        <v>0.54746745259774499</v>
      </c>
      <c r="O4" s="4">
        <v>0</v>
      </c>
    </row>
    <row r="5" spans="1:15" x14ac:dyDescent="0.45">
      <c r="A5" s="3">
        <v>24</v>
      </c>
      <c r="B5" s="11"/>
      <c r="C5" s="1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45">
      <c r="A6" s="3">
        <v>48</v>
      </c>
      <c r="B6" s="11"/>
      <c r="C6" s="1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45">
      <c r="A7" s="3">
        <v>72</v>
      </c>
      <c r="B7" s="4">
        <v>3.8682126911985602E-2</v>
      </c>
      <c r="C7" s="10">
        <v>7.6771743487381199E-4</v>
      </c>
      <c r="D7" s="4">
        <v>3.2419447933087701E-2</v>
      </c>
      <c r="E7" s="4">
        <v>1.51950443039203E-3</v>
      </c>
      <c r="F7" s="4">
        <v>7.34581184296422E-2</v>
      </c>
      <c r="G7" s="4">
        <v>5.9446905873653602E-3</v>
      </c>
      <c r="H7" s="4">
        <v>0.17531440803557599</v>
      </c>
      <c r="I7" s="4">
        <v>6.92528114750556E-3</v>
      </c>
      <c r="J7" s="4">
        <v>0.294231426174764</v>
      </c>
      <c r="K7" s="4">
        <v>9.9649839924540497E-3</v>
      </c>
      <c r="L7" s="4">
        <v>4.30859814869652E-2</v>
      </c>
      <c r="M7" s="4">
        <v>1.24616691890326E-2</v>
      </c>
      <c r="N7" s="4">
        <v>0.459916144262555</v>
      </c>
      <c r="O7" s="4">
        <v>4.8545010180133699E-2</v>
      </c>
    </row>
    <row r="8" spans="1:15" x14ac:dyDescent="0.45">
      <c r="A8" s="3">
        <v>96</v>
      </c>
      <c r="B8" s="4">
        <v>8.2823458636810496E-2</v>
      </c>
      <c r="C8" s="4">
        <v>1.32952911670199E-2</v>
      </c>
      <c r="D8" s="4">
        <v>7.0447237289003706E-2</v>
      </c>
      <c r="E8" s="4">
        <v>1.06391599131428E-2</v>
      </c>
      <c r="F8" s="4">
        <v>0.16210926828199201</v>
      </c>
      <c r="G8" s="4">
        <v>1.1951582720487901E-2</v>
      </c>
      <c r="H8" s="4">
        <v>0.37539999101195298</v>
      </c>
      <c r="I8" s="4">
        <v>4.0856842622741897E-2</v>
      </c>
      <c r="J8" s="4">
        <v>0.54009160260583999</v>
      </c>
      <c r="K8" s="4">
        <v>0.10181335070855101</v>
      </c>
      <c r="L8" s="4">
        <v>7.8247697485044496E-2</v>
      </c>
      <c r="M8" s="4">
        <v>3.2099643262139203E-2</v>
      </c>
      <c r="N8" s="4">
        <v>0.97655957526362902</v>
      </c>
      <c r="O8" s="4">
        <v>7.55512265188093E-2</v>
      </c>
    </row>
    <row r="9" spans="1:15" x14ac:dyDescent="0.45">
      <c r="A9" s="3">
        <v>96.01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45">
      <c r="A10" s="3">
        <v>120</v>
      </c>
      <c r="B10" s="4">
        <v>0.147749299863246</v>
      </c>
      <c r="C10" s="4">
        <v>1.6437027131272701E-2</v>
      </c>
      <c r="D10" s="4">
        <v>0.10677040314981399</v>
      </c>
      <c r="E10" s="4">
        <v>3.6433930624226903E-2</v>
      </c>
      <c r="F10" s="4">
        <v>0.36525480133722799</v>
      </c>
      <c r="G10" s="4">
        <v>2.96257076506369E-2</v>
      </c>
      <c r="H10" s="4">
        <v>0.727076975807873</v>
      </c>
      <c r="I10" s="4">
        <v>0.105813200409294</v>
      </c>
      <c r="J10" s="4">
        <v>0.58021298942084898</v>
      </c>
      <c r="K10" s="4">
        <v>0.12476245521125801</v>
      </c>
      <c r="L10" s="4">
        <v>6.9352070420101497E-2</v>
      </c>
      <c r="M10" s="4">
        <v>1.0706060631755899E-2</v>
      </c>
      <c r="N10" s="4">
        <v>1.2663262563904301</v>
      </c>
      <c r="O10" s="4">
        <v>0.16257182257787001</v>
      </c>
    </row>
    <row r="11" spans="1:15" x14ac:dyDescent="0.45">
      <c r="A11" s="3">
        <v>144</v>
      </c>
      <c r="B11" s="4">
        <v>0.334503657672792</v>
      </c>
      <c r="C11" s="4">
        <v>6.1374087652552797E-2</v>
      </c>
      <c r="D11" s="4">
        <v>0.135226647929614</v>
      </c>
      <c r="E11" s="4">
        <v>2.5555540774811099E-2</v>
      </c>
      <c r="F11" s="4">
        <v>0.48989358041768299</v>
      </c>
      <c r="G11" s="4">
        <v>0.123483397230677</v>
      </c>
      <c r="H11" s="4">
        <v>0.84378810666531801</v>
      </c>
      <c r="I11" s="4">
        <v>0.19448111864654599</v>
      </c>
      <c r="J11" s="4">
        <v>0.30799128136853698</v>
      </c>
      <c r="K11" s="4">
        <v>8.18130991812238E-2</v>
      </c>
      <c r="L11" s="4">
        <v>7.2002668404969494E-2</v>
      </c>
      <c r="M11" s="4">
        <v>2.9270647846717599E-2</v>
      </c>
      <c r="N11" s="4">
        <v>0.79792207721897201</v>
      </c>
      <c r="O11" s="4">
        <v>0.19412404291097399</v>
      </c>
    </row>
    <row r="12" spans="1:15" x14ac:dyDescent="0.45">
      <c r="A12" s="3">
        <v>144.01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45">
      <c r="A13" s="3">
        <v>168</v>
      </c>
      <c r="B13" s="4">
        <v>0.221828565579543</v>
      </c>
      <c r="C13" s="4">
        <v>4.7578795899743599E-2</v>
      </c>
      <c r="D13" s="4">
        <v>0.15190481804748401</v>
      </c>
      <c r="E13" s="4">
        <v>1.30051702718847E-2</v>
      </c>
      <c r="F13" s="4">
        <v>0.46323037576827902</v>
      </c>
      <c r="G13" s="4">
        <v>4.3549967965138499E-2</v>
      </c>
      <c r="H13" s="4">
        <v>0.78659330621109402</v>
      </c>
      <c r="I13" s="4">
        <v>1.04805676228971E-2</v>
      </c>
      <c r="J13" s="4">
        <v>0.42782605039985999</v>
      </c>
      <c r="K13" s="4">
        <v>4.8917345523214903E-2</v>
      </c>
      <c r="L13" s="4">
        <v>3.8823001938601699E-2</v>
      </c>
      <c r="M13" s="4">
        <v>3.52604802105624E-3</v>
      </c>
      <c r="N13" s="4">
        <v>0.47418885775441499</v>
      </c>
      <c r="O13" s="4">
        <v>1.39841802605734E-2</v>
      </c>
    </row>
    <row r="14" spans="1:15" x14ac:dyDescent="0.45">
      <c r="A14" s="5">
        <v>192</v>
      </c>
      <c r="B14" s="4">
        <v>0.265312899682833</v>
      </c>
      <c r="C14" s="4">
        <v>3.4685080006350202E-3</v>
      </c>
      <c r="D14" s="4">
        <v>0.16286311194459199</v>
      </c>
      <c r="E14" s="4">
        <v>1.7540023459473301E-2</v>
      </c>
      <c r="F14" s="4">
        <v>0.45788642488944797</v>
      </c>
      <c r="G14" s="4">
        <v>4.14528872796104E-3</v>
      </c>
      <c r="H14" s="4">
        <v>1.0412860231024199</v>
      </c>
      <c r="I14" s="4">
        <v>0.121337179302658</v>
      </c>
      <c r="J14" s="4">
        <v>0.64854769741442297</v>
      </c>
      <c r="K14" s="4">
        <v>0.148912491547463</v>
      </c>
      <c r="L14" s="4">
        <v>4.2045143306952699E-2</v>
      </c>
      <c r="M14" s="4">
        <v>2.0170032843896801E-3</v>
      </c>
      <c r="N14" s="4">
        <v>0.31516599169390702</v>
      </c>
      <c r="O14" s="4">
        <v>1.45390676462313E-2</v>
      </c>
    </row>
    <row r="15" spans="1:15" x14ac:dyDescent="0.45">
      <c r="A15" s="4">
        <v>192.01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45">
      <c r="A16" s="9">
        <v>216</v>
      </c>
      <c r="B16" s="4">
        <v>0.60154535194449499</v>
      </c>
      <c r="C16" s="4">
        <v>2.0594512317050898E-2</v>
      </c>
      <c r="D16" s="4">
        <v>0.28174991197673699</v>
      </c>
      <c r="E16" s="4">
        <v>2.56712123923497E-2</v>
      </c>
      <c r="F16" s="4">
        <v>0.68120136690535005</v>
      </c>
      <c r="G16" s="4">
        <v>4.1084120972621402E-2</v>
      </c>
      <c r="H16" s="4">
        <v>1.67639438213009</v>
      </c>
      <c r="I16" s="4">
        <v>0.159252514548366</v>
      </c>
      <c r="J16" s="4">
        <v>0.63750610507143002</v>
      </c>
      <c r="K16" s="4">
        <v>3.7455016496629502E-2</v>
      </c>
      <c r="L16" s="4">
        <v>3.4613768442354802E-2</v>
      </c>
      <c r="M16" s="4">
        <v>1.06875219986274E-2</v>
      </c>
      <c r="N16" s="4">
        <v>3.4759294880581799</v>
      </c>
      <c r="O16" s="4">
        <v>7.5449412319605794E-2</v>
      </c>
    </row>
    <row r="17" spans="1:15" x14ac:dyDescent="0.45">
      <c r="A17" s="9">
        <v>240</v>
      </c>
      <c r="B17" s="4">
        <v>0.53331503539279601</v>
      </c>
      <c r="C17" s="4"/>
      <c r="D17" s="4">
        <v>0.54305177766540402</v>
      </c>
      <c r="E17" s="4"/>
      <c r="F17" s="4">
        <v>0.71622765047271297</v>
      </c>
      <c r="G17" s="4"/>
      <c r="H17" s="4">
        <v>3.6508208012751999</v>
      </c>
      <c r="I17" s="4"/>
      <c r="J17" s="4">
        <v>1.01075730267149</v>
      </c>
      <c r="K17" s="4"/>
      <c r="L17" s="4">
        <v>2.72033676468755E-2</v>
      </c>
      <c r="M17" s="4"/>
      <c r="N17" s="4">
        <v>3.7726903387473198</v>
      </c>
      <c r="O17" s="4"/>
    </row>
    <row r="18" spans="1:15" x14ac:dyDescent="0.45">
      <c r="A18" s="9">
        <v>240.01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45">
      <c r="A19" s="9">
        <v>264</v>
      </c>
      <c r="B19" s="4">
        <v>1.08202497268003</v>
      </c>
      <c r="C19" s="4">
        <v>0.106559179960485</v>
      </c>
      <c r="D19" s="4">
        <v>0.55844543869372298</v>
      </c>
      <c r="E19" s="4">
        <v>8.1687822085763903E-2</v>
      </c>
      <c r="F19" s="4">
        <v>1.31198235306152</v>
      </c>
      <c r="G19" s="4">
        <v>8.6002522944417903E-2</v>
      </c>
      <c r="H19" s="4">
        <v>4.32788047574806</v>
      </c>
      <c r="I19" s="4">
        <v>0.59516885286580901</v>
      </c>
      <c r="J19" s="4">
        <v>0.81112488095391599</v>
      </c>
      <c r="K19" s="4">
        <v>0.12547445805401899</v>
      </c>
      <c r="L19" s="4">
        <v>2.0656836323220101E-2</v>
      </c>
      <c r="M19" s="4">
        <v>6.2512270909577403E-3</v>
      </c>
      <c r="N19" s="4">
        <v>9.9393088945505905</v>
      </c>
      <c r="O19" s="4">
        <v>1.0169100402226501</v>
      </c>
    </row>
    <row r="20" spans="1:15" x14ac:dyDescent="0.45">
      <c r="A20" s="7">
        <v>288</v>
      </c>
      <c r="B20" s="8">
        <v>1.44866026826705</v>
      </c>
      <c r="C20" s="8">
        <v>9.9043423123694796E-2</v>
      </c>
      <c r="D20" s="8">
        <v>0.706840628432855</v>
      </c>
      <c r="E20" s="8">
        <v>1.2135004239947299E-2</v>
      </c>
      <c r="F20" s="8">
        <v>1.20214075719053</v>
      </c>
      <c r="G20" s="8">
        <v>7.5308300041736304E-2</v>
      </c>
      <c r="H20" s="8">
        <v>5.3556058159738003</v>
      </c>
      <c r="I20" s="8">
        <v>0.29052017643293998</v>
      </c>
      <c r="J20" s="8">
        <v>0.65211730808969204</v>
      </c>
      <c r="K20" s="8">
        <v>6.1085565780177103E-3</v>
      </c>
      <c r="L20" s="8">
        <v>3.31875317422873E-2</v>
      </c>
      <c r="M20" s="8">
        <v>1.64808448513092E-3</v>
      </c>
      <c r="N20" s="8">
        <v>7.3945182758694603</v>
      </c>
      <c r="O20" s="8">
        <v>2.5025930164171199E-2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Metabolites</vt:lpstr>
      <vt:lpstr>NSD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 Yu</dc:creator>
  <cp:lastModifiedBy>Yu, Luxi</cp:lastModifiedBy>
  <dcterms:created xsi:type="dcterms:W3CDTF">2015-06-05T18:17:20Z</dcterms:created>
  <dcterms:modified xsi:type="dcterms:W3CDTF">2025-04-26T21:35:56Z</dcterms:modified>
</cp:coreProperties>
</file>